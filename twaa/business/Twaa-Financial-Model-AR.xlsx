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لخص" sheetId="1" state="visible" r:id="rId1"/>
    <sheet xmlns:r="http://schemas.openxmlformats.org/officeDocument/2006/relationships" name="الافتراضات" sheetId="2" state="visible" r:id="rId2"/>
    <sheet xmlns:r="http://schemas.openxmlformats.org/officeDocument/2006/relationships" name="النموذج" sheetId="3" state="visible" r:id="rId3"/>
    <sheet xmlns:r="http://schemas.openxmlformats.org/officeDocument/2006/relationships" name="السنوي" sheetId="4" state="visible" r:id="rId4"/>
    <sheet xmlns:r="http://schemas.openxmlformats.org/officeDocument/2006/relationships" name="اقتصاديات الوحدة" sheetId="5" state="visible" r:id="rId5"/>
    <sheet xmlns:r="http://schemas.openxmlformats.org/officeDocument/2006/relationships" name="مصادر الإيراد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2">
    <numFmt numFmtId="164" formatCode="0.00&quot;x&quot;"/>
    <numFmt numFmtId="165" formatCode="0.0%;(0.0%);&quot;-&quot;"/>
    <numFmt numFmtId="166" formatCode="yyyy-mm-dd"/>
    <numFmt numFmtId="167" formatCode="mmm yyyy"/>
    <numFmt numFmtId="168" formatCode="#,##0;(#,##0);&quot;-&quot;"/>
    <numFmt numFmtId="169" formatCode="0.0"/>
    <numFmt numFmtId="170" formatCode="#,##0.00;(#,##0.00);&quot;-&quot;"/>
    <numFmt numFmtId="171" formatCode="mmm yy"/>
    <numFmt numFmtId="172" formatCode="#,##0.0;(#,##0.0);&quot;-&quot;"/>
    <numFmt numFmtId="173" formatCode="0.0&quot; mo&quot;"/>
    <numFmt numFmtId="174" formatCode="&quot;$&quot;#,##0"/>
    <numFmt numFmtId="175" formatCode="0.0&quot; شهر&quot;"/>
  </numFmts>
  <fonts count="19">
    <font>
      <name val="Calibri"/>
      <family val="2"/>
      <color theme="1"/>
      <sz val="11"/>
      <scheme val="minor"/>
    </font>
    <font>
      <name val="Arial"/>
      <b val="1"/>
      <color rgb="003A1F3D"/>
      <sz val="14"/>
    </font>
    <font>
      <name val="Arial"/>
      <i val="1"/>
      <color rgb="007E6F80"/>
      <sz val="9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7E6F80"/>
      <sz val="9"/>
    </font>
    <font>
      <name val="Arial"/>
      <color rgb="000000FF"/>
      <sz val="10"/>
    </font>
    <font>
      <name val="Arial"/>
      <b val="1"/>
      <color rgb="003A1F3D"/>
      <sz val="9"/>
    </font>
    <font>
      <name val="Arial"/>
      <color rgb="00000000"/>
      <sz val="9"/>
    </font>
    <font>
      <name val="Arial"/>
      <b val="1"/>
      <color rgb="003A1F3D"/>
      <sz val="13"/>
    </font>
    <font>
      <name val="Arial"/>
      <b val="1"/>
      <color rgb="003A1F3D"/>
      <sz val="10"/>
    </font>
    <font>
      <name val="Arial"/>
      <b val="1"/>
      <color rgb="00000000"/>
      <sz val="10"/>
    </font>
    <font>
      <name val="Arial"/>
      <color rgb="00008000"/>
      <sz val="10"/>
    </font>
    <font>
      <name val="Arial"/>
      <b val="1"/>
      <color rgb="00FFFFFF"/>
      <sz val="10"/>
    </font>
    <font>
      <name val="Arial"/>
      <b val="1"/>
      <color rgb="00008000"/>
      <sz val="10"/>
    </font>
    <font>
      <name val="Arial"/>
      <b val="1"/>
      <color rgb="00FFFFFF"/>
      <sz val="9"/>
    </font>
    <font>
      <name val="Arial"/>
      <color rgb="00008000"/>
      <sz val="9"/>
    </font>
    <font>
      <name val="Arial"/>
      <b val="1"/>
      <color rgb="003A1F3D"/>
      <sz val="16"/>
    </font>
    <font>
      <name val="Arial"/>
      <b val="1"/>
      <color rgb="00F9732F"/>
      <sz val="10"/>
    </font>
  </fonts>
  <fills count="7">
    <fill>
      <patternFill/>
    </fill>
    <fill>
      <patternFill patternType="gray125"/>
    </fill>
    <fill>
      <patternFill patternType="solid">
        <fgColor rgb="003A1F3D"/>
      </patternFill>
    </fill>
    <fill>
      <patternFill patternType="solid">
        <fgColor rgb="00FFFF00"/>
      </patternFill>
    </fill>
    <fill>
      <patternFill patternType="solid">
        <fgColor rgb="00F9F2E7"/>
      </patternFill>
    </fill>
    <fill>
      <patternFill patternType="solid">
        <fgColor rgb="00EFE5F0"/>
      </patternFill>
    </fill>
    <fill>
      <patternFill patternType="solid">
        <fgColor rgb="00FFF3EC"/>
      </patternFill>
    </fill>
  </fills>
  <borders count="2">
    <border>
      <left/>
      <right/>
      <top/>
      <bottom/>
      <diagonal/>
    </border>
    <border>
      <top style="thin">
        <color rgb="00D9CBBB"/>
      </top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3" fillId="2" borderId="0" pivotButton="0" quotePrefix="0" xfId="0"/>
    <xf numFmtId="0" fontId="4" fillId="0" borderId="0" pivotButton="0" quotePrefix="0" xfId="0"/>
    <xf numFmtId="168" fontId="12" fillId="0" borderId="0" pivotButton="0" quotePrefix="0" xfId="0"/>
    <xf numFmtId="168" fontId="14" fillId="0" borderId="0" pivotButton="0" quotePrefix="0" xfId="0"/>
    <xf numFmtId="174" fontId="14" fillId="0" borderId="0" pivotButton="0" quotePrefix="0" xfId="0"/>
    <xf numFmtId="167" fontId="14" fillId="0" borderId="0" pivotButton="0" quotePrefix="0" xfId="0"/>
    <xf numFmtId="165" fontId="12" fillId="0" borderId="0" pivotButton="0" quotePrefix="0" xfId="0"/>
    <xf numFmtId="49" fontId="14" fillId="0" borderId="0" pivotButton="0" quotePrefix="0" xfId="0"/>
    <xf numFmtId="172" fontId="12" fillId="0" borderId="0" pivotButton="0" quotePrefix="0" xfId="0"/>
    <xf numFmtId="164" fontId="14" fillId="0" borderId="0" pivotButton="0" quotePrefix="0" xfId="0"/>
    <xf numFmtId="175" fontId="14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8" fillId="0" borderId="0" pivotButton="0" quotePrefix="0" xfId="0"/>
    <xf numFmtId="168" fontId="1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5" fillId="0" borderId="0" pivotButton="0" quotePrefix="0" xfId="0"/>
    <xf numFmtId="1" fontId="6" fillId="3" borderId="0" pivotButton="0" quotePrefix="0" xfId="0"/>
    <xf numFmtId="0" fontId="5" fillId="0" borderId="0" applyAlignment="1" pivotButton="0" quotePrefix="0" xfId="0">
      <alignment vertical="top" wrapText="1"/>
    </xf>
    <xf numFmtId="0" fontId="7" fillId="4" borderId="0" pivotButton="0" quotePrefix="0" xfId="0"/>
    <xf numFmtId="164" fontId="6" fillId="0" borderId="0" pivotButton="0" quotePrefix="0" xfId="0"/>
    <xf numFmtId="164" fontId="4" fillId="0" borderId="0" pivotButton="0" quotePrefix="0" xfId="0"/>
    <xf numFmtId="165" fontId="6" fillId="0" borderId="0" pivotButton="0" quotePrefix="0" xfId="0"/>
    <xf numFmtId="165" fontId="4" fillId="0" borderId="0" pivotButton="0" quotePrefix="0" xfId="0"/>
    <xf numFmtId="167" fontId="6" fillId="0" borderId="0" pivotButton="0" quotePrefix="0" xfId="0"/>
    <xf numFmtId="168" fontId="6" fillId="0" borderId="0" pivotButton="0" quotePrefix="0" xfId="0"/>
    <xf numFmtId="169" fontId="6" fillId="0" borderId="0" pivotButton="0" quotePrefix="0" xfId="0"/>
    <xf numFmtId="1" fontId="6" fillId="0" borderId="0" pivotButton="0" quotePrefix="0" xfId="0"/>
    <xf numFmtId="168" fontId="6" fillId="3" borderId="0" pivotButton="0" quotePrefix="0" xfId="0"/>
    <xf numFmtId="165" fontId="6" fillId="3" borderId="0" pivotButton="0" quotePrefix="0" xfId="0"/>
    <xf numFmtId="169" fontId="6" fillId="3" borderId="0" pivotButton="0" quotePrefix="0" xfId="0"/>
    <xf numFmtId="2" fontId="6" fillId="0" borderId="0" pivotButton="0" quotePrefix="0" xfId="0"/>
    <xf numFmtId="170" fontId="6" fillId="0" borderId="0" pivotButton="0" quotePrefix="0" xfId="0"/>
    <xf numFmtId="0" fontId="9" fillId="0" borderId="0" pivotButton="0" quotePrefix="0" xfId="0"/>
    <xf numFmtId="0" fontId="10" fillId="5" borderId="0" pivotButton="0" quotePrefix="0" xfId="0"/>
    <xf numFmtId="0" fontId="0" fillId="5" borderId="0" pivotButton="0" quotePrefix="0" xfId="0"/>
    <xf numFmtId="171" fontId="11" fillId="4" borderId="0" applyAlignment="1" pivotButton="0" quotePrefix="0" xfId="0">
      <alignment horizontal="center"/>
    </xf>
    <xf numFmtId="1" fontId="4" fillId="0" borderId="0" pivotButton="0" quotePrefix="0" xfId="0"/>
    <xf numFmtId="49" fontId="4" fillId="0" borderId="0" pivotButton="0" quotePrefix="0" xfId="0"/>
    <xf numFmtId="168" fontId="4" fillId="0" borderId="0" pivotButton="0" quotePrefix="0" xfId="0"/>
    <xf numFmtId="170" fontId="4" fillId="0" borderId="0" pivotButton="0" quotePrefix="0" xfId="0"/>
    <xf numFmtId="170" fontId="12" fillId="0" borderId="0" pivotButton="0" quotePrefix="0" xfId="0"/>
    <xf numFmtId="0" fontId="11" fillId="0" borderId="1" pivotButton="0" quotePrefix="0" xfId="0"/>
    <xf numFmtId="0" fontId="5" fillId="0" borderId="1" pivotButton="0" quotePrefix="0" xfId="0"/>
    <xf numFmtId="168" fontId="11" fillId="0" borderId="1" pivotButton="0" quotePrefix="0" xfId="0"/>
    <xf numFmtId="172" fontId="4" fillId="0" borderId="0" pivotButton="0" quotePrefix="0" xfId="0"/>
    <xf numFmtId="168" fontId="11" fillId="6" borderId="1" pivotButton="0" quotePrefix="0" xfId="0"/>
    <xf numFmtId="171" fontId="4" fillId="0" borderId="0" pivotButton="0" quotePrefix="0" xfId="0"/>
    <xf numFmtId="0" fontId="13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168" fontId="11" fillId="6" borderId="0" pivotButton="0" quotePrefix="0" xfId="0"/>
    <xf numFmtId="167" fontId="11" fillId="6" borderId="0" pivotButton="0" quotePrefix="0" xfId="0"/>
    <xf numFmtId="49" fontId="11" fillId="6" borderId="0" pivotButton="0" quotePrefix="0" xfId="0"/>
    <xf numFmtId="164" fontId="11" fillId="6" borderId="0" pivotButton="0" quotePrefix="0" xfId="0"/>
    <xf numFmtId="175" fontId="11" fillId="6" borderId="0" pivotButton="0" quotePrefix="0" xfId="0"/>
    <xf numFmtId="172" fontId="14" fillId="0" borderId="1" pivotButton="0" quotePrefix="0" xfId="0"/>
    <xf numFmtId="0" fontId="15" fillId="2" borderId="0" applyAlignment="1" pivotButton="0" quotePrefix="0" xfId="0">
      <alignment wrapText="1"/>
    </xf>
    <xf numFmtId="0" fontId="8" fillId="0" borderId="0" applyAlignment="1" pivotButton="0" quotePrefix="0" xfId="0">
      <alignment vertical="top" wrapText="1"/>
    </xf>
    <xf numFmtId="165" fontId="8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مجمل الربح حسب مصدر الإيراد (ج.م)</a:t>
            </a:r>
          </a:p>
        </rich>
      </tx>
    </title>
    <plotArea>
      <barChart>
        <barDir val="col"/>
        <grouping val="stacked"/>
        <ser>
          <idx val="0"/>
          <order val="0"/>
          <tx>
            <v>هامش المنتجات</v>
          </tx>
          <spPr>
            <a:solidFill xmlns:a="http://schemas.openxmlformats.org/drawingml/2006/main">
              <a:srgbClr val="3A1F3D"/>
            </a:solidFill>
            <a:ln xmlns:a="http://schemas.openxmlformats.org/drawingml/2006/main">
              <a:solidFill>
                <a:srgbClr val="3A1F3D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'Summary'!$B$20:$F$20</f>
            </numRef>
          </val>
        </ser>
        <ser>
          <idx val="1"/>
          <order val="1"/>
          <tx>
            <v>السوق والصيدليات</v>
          </tx>
          <spPr>
            <a:solidFill xmlns:a="http://schemas.openxmlformats.org/drawingml/2006/main">
              <a:srgbClr val="F9732F"/>
            </a:solidFill>
            <a:ln xmlns:a="http://schemas.openxmlformats.org/drawingml/2006/main">
              <a:solidFill>
                <a:srgbClr val="F9732F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'Summary'!$B$21:$F$21</f>
            </numRef>
          </val>
        </ser>
        <ser>
          <idx val="2"/>
          <order val="2"/>
          <tx>
            <v>الأكل</v>
          </tx>
          <spPr>
            <a:solidFill xmlns:a="http://schemas.openxmlformats.org/drawingml/2006/main">
              <a:srgbClr val="B4441E"/>
            </a:solidFill>
            <a:ln xmlns:a="http://schemas.openxmlformats.org/drawingml/2006/main">
              <a:solidFill>
                <a:srgbClr val="B4441E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'Summary'!$B$22:$F$22</f>
            </numRef>
          </val>
        </ser>
        <ser>
          <idx val="3"/>
          <order val="3"/>
          <tx>
            <v>رسوم التوصيل</v>
          </tx>
          <spPr>
            <a:solidFill xmlns:a="http://schemas.openxmlformats.org/drawingml/2006/main">
              <a:srgbClr val="0F7C8C"/>
            </a:solidFill>
            <a:ln xmlns:a="http://schemas.openxmlformats.org/drawingml/2006/main">
              <a:solidFill>
                <a:srgbClr val="0F7C8C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'Summary'!$B$23:$F$23</f>
            </numRef>
          </val>
        </ser>
        <ser>
          <idx val="4"/>
          <order val="4"/>
          <tx>
            <v>رسوم الخدمة</v>
          </tx>
          <spPr>
            <a:solidFill xmlns:a="http://schemas.openxmlformats.org/drawingml/2006/main">
              <a:srgbClr val="7E6F80"/>
            </a:solidFill>
            <a:ln xmlns:a="http://schemas.openxmlformats.org/drawingml/2006/main">
              <a:solidFill>
                <a:srgbClr val="7E6F80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'Summary'!$B$24:$F$24</f>
            </numRef>
          </val>
        </ser>
        <ser>
          <idx val="5"/>
          <order val="5"/>
          <tx>
            <v>توّا+</v>
          </tx>
          <spPr>
            <a:solidFill xmlns:a="http://schemas.openxmlformats.org/drawingml/2006/main">
              <a:srgbClr val="6D3FA8"/>
            </a:solidFill>
            <a:ln xmlns:a="http://schemas.openxmlformats.org/drawingml/2006/main">
              <a:solidFill>
                <a:srgbClr val="6D3FA8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'Summary'!$B$25:$F$25</f>
            </numRef>
          </val>
        </ser>
        <ser>
          <idx val="6"/>
          <order val="6"/>
          <tx>
            <v>التوصيل كخدمة</v>
          </tx>
          <spPr>
            <a:solidFill xmlns:a="http://schemas.openxmlformats.org/drawingml/2006/main">
              <a:srgbClr val="2E7D4F"/>
            </a:solidFill>
            <a:ln xmlns:a="http://schemas.openxmlformats.org/drawingml/2006/main">
              <a:solidFill>
                <a:srgbClr val="2E7D4F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'Summary'!$B$26:$F$26</f>
            </numRef>
          </val>
        </ser>
        <ser>
          <idx val="7"/>
          <order val="7"/>
          <tx>
            <v>إعلانات التطبيق</v>
          </tx>
          <spPr>
            <a:solidFill xmlns:a="http://schemas.openxmlformats.org/drawingml/2006/main">
              <a:srgbClr val="B8860B"/>
            </a:solidFill>
            <a:ln xmlns:a="http://schemas.openxmlformats.org/drawingml/2006/main">
              <a:solidFill>
                <a:srgbClr val="B8860B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'Summary'!$B$27:$F$27</f>
            </numRef>
          </val>
        </ser>
        <ser>
          <idx val="8"/>
          <order val="8"/>
          <tx>
            <v>حوافز الموردين</v>
          </tx>
          <spPr>
            <a:solidFill xmlns:a="http://schemas.openxmlformats.org/drawingml/2006/main">
              <a:srgbClr val="C9A0C9"/>
            </a:solidFill>
            <a:ln xmlns:a="http://schemas.openxmlformats.org/drawingml/2006/main">
              <a:solidFill>
                <a:srgbClr val="C9A0C9"/>
              </a:solidFill>
              <a:prstDash val="solid"/>
            </a:ln>
          </spPr>
          <cat>
            <numRef>
              <f>'Summary'!$B$19:$F$19</f>
            </numRef>
          </cat>
          <val>
            <numRef>
              <f>'Summary'!$B$28:$F$28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طلبات العملاء في اليوم</a:t>
            </a:r>
          </a:p>
        </rich>
      </tx>
    </title>
    <plotArea>
      <lineChart>
        <grouping val="standard"/>
        <ser>
          <idx val="0"/>
          <order val="0"/>
          <spPr>
            <a:ln xmlns:a="http://schemas.openxmlformats.org/drawingml/2006/main">
              <a:solidFill>
                <a:srgbClr val="3A1F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'Model'!$C$5:$BM$5</f>
            </numRef>
          </cat>
          <val>
            <numRef>
              <f>'Model'!$C$55:$BM$55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رصيد النقدية (ج.م) و EBITDA الشهرية</a:t>
            </a:r>
          </a:p>
        </rich>
      </tx>
    </title>
    <plotArea>
      <lineChart>
        <grouping val="standard"/>
        <ser>
          <idx val="0"/>
          <order val="0"/>
          <tx>
            <v>رصيد النقدية</v>
          </tx>
          <spPr>
            <a:ln xmlns:a="http://schemas.openxmlformats.org/drawingml/2006/main">
              <a:solidFill>
                <a:srgbClr val="3A1F3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'Model'!$C$5:$BM$5</f>
            </numRef>
          </cat>
          <val>
            <numRef>
              <f>'Model'!$C$133:$BM$133</f>
            </numRef>
          </val>
        </ser>
        <ser>
          <idx val="1"/>
          <order val="1"/>
          <tx>
            <v>EBITDA</v>
          </tx>
          <spPr>
            <a:ln xmlns:a="http://schemas.openxmlformats.org/drawingml/2006/main">
              <a:solidFill>
                <a:srgbClr val="F9732F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'Model'!$C$5:$BM$5</f>
            </numRef>
          </cat>
          <val>
            <numRef>
              <f>'Model'!$C$105:$BM$105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7</col>
      <colOff>0</colOff>
      <row>13</row>
      <rowOff>0</rowOff>
    </from>
    <ext cx="648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37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7</col>
      <colOff>0</colOff>
      <row>37</row>
      <rowOff>0</rowOff>
    </from>
    <ext cx="6480000" cy="288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showGridLines="0" rightToLeft="1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3" customWidth="1" min="7" max="7"/>
    <col width="36" customWidth="1" min="8" max="8"/>
    <col width="16" customWidth="1" min="9" max="9"/>
    <col width="3" customWidth="1" min="10" max="10"/>
  </cols>
  <sheetData>
    <row r="1">
      <c r="A1" s="1" t="inlineStr">
        <is>
          <t>توّا — ملخص النموذج المالي</t>
        </is>
      </c>
    </row>
    <row r="2">
      <c r="A2" s="2">
        <f>"السيناريو: "&amp;INDEX({"المتحفظ","الأساسي","المتفائل"},'الافتراضات'!$C$6)&amp;"   ·   غيّره من الافتراضات!C6   ·   جنيه اسمي بدون ض.ق.م"</f>
        <v/>
      </c>
    </row>
    <row r="3"/>
    <row r="4">
      <c r="A4" s="3" t="inlineStr">
        <is>
          <t>المؤشر</t>
        </is>
      </c>
      <c r="B4" s="3" t="inlineStr">
        <is>
          <t>2027</t>
        </is>
      </c>
      <c r="C4" s="3" t="inlineStr">
        <is>
          <t>2028</t>
        </is>
      </c>
      <c r="D4" s="3" t="inlineStr">
        <is>
          <t>2029</t>
        </is>
      </c>
      <c r="E4" s="3" t="inlineStr">
        <is>
          <t>2030</t>
        </is>
      </c>
      <c r="F4" s="3" t="inlineStr">
        <is>
          <t>2031</t>
        </is>
      </c>
      <c r="H4" s="3" t="inlineStr">
        <is>
          <t>المؤشر الرئيسي</t>
        </is>
      </c>
      <c r="I4" s="3" t="inlineStr">
        <is>
          <t>القيمة</t>
        </is>
      </c>
    </row>
    <row r="5">
      <c r="A5" s="4" t="inlineStr">
        <is>
          <t>طلبات/يوم (ديسمبر)</t>
        </is>
      </c>
      <c r="B5" s="5">
        <f>'السنوي'!D$13</f>
        <v/>
      </c>
      <c r="C5" s="5">
        <f>'السنوي'!E$13</f>
        <v/>
      </c>
      <c r="D5" s="5">
        <f>'السنوي'!F$13</f>
        <v/>
      </c>
      <c r="E5" s="5">
        <f>'السنوي'!G$13</f>
        <v/>
      </c>
      <c r="F5" s="5">
        <f>'السنوي'!H$13</f>
        <v/>
      </c>
      <c r="H5" s="4" t="inlineStr">
        <is>
          <t>ذروة الاحتياج التمويلي</t>
        </is>
      </c>
      <c r="I5" s="6">
        <f>'السنوي'!$C$56</f>
        <v/>
      </c>
    </row>
    <row r="6">
      <c r="A6" s="4" t="inlineStr">
        <is>
          <t>العملاء النشطون (ديسمبر)</t>
        </is>
      </c>
      <c r="B6" s="5">
        <f>'السنوي'!D$8</f>
        <v/>
      </c>
      <c r="C6" s="5">
        <f>'السنوي'!E$8</f>
        <v/>
      </c>
      <c r="D6" s="5">
        <f>'السنوي'!F$8</f>
        <v/>
      </c>
      <c r="E6" s="5">
        <f>'السنوي'!G$8</f>
        <v/>
      </c>
      <c r="F6" s="5">
        <f>'السنوي'!H$8</f>
        <v/>
      </c>
      <c r="H6" s="4" t="inlineStr">
        <is>
          <t>ذروة الاحتياج التمويلي (دولار)</t>
        </is>
      </c>
      <c r="I6" s="7">
        <f>'السنوي'!$C$56/'الافتراضات'!$C$108</f>
        <v/>
      </c>
    </row>
    <row r="7">
      <c r="A7" s="4" t="inlineStr">
        <is>
          <t>قيمة الطلبات (GMV)</t>
        </is>
      </c>
      <c r="B7" s="5">
        <f>'السنوي'!D$15</f>
        <v/>
      </c>
      <c r="C7" s="5">
        <f>'السنوي'!E$15</f>
        <v/>
      </c>
      <c r="D7" s="5">
        <f>'السنوي'!F$15</f>
        <v/>
      </c>
      <c r="E7" s="5">
        <f>'السنوي'!G$15</f>
        <v/>
      </c>
      <c r="F7" s="5">
        <f>'السنوي'!H$15</f>
        <v/>
      </c>
      <c r="H7" s="4" t="inlineStr">
        <is>
          <t>جولتا البذرة والنمو في النموذج</t>
        </is>
      </c>
      <c r="I7" s="6">
        <f>'الافتراضات'!$C$105+'الافتراضات'!$C$106</f>
        <v/>
      </c>
    </row>
    <row r="8">
      <c r="A8" s="4" t="inlineStr">
        <is>
          <t>صافي الإيراد</t>
        </is>
      </c>
      <c r="B8" s="5">
        <f>'السنوي'!D$27</f>
        <v/>
      </c>
      <c r="C8" s="5">
        <f>'السنوي'!E$27</f>
        <v/>
      </c>
      <c r="D8" s="5">
        <f>'السنوي'!F$27</f>
        <v/>
      </c>
      <c r="E8" s="5">
        <f>'السنوي'!G$27</f>
        <v/>
      </c>
      <c r="F8" s="5">
        <f>'السنوي'!H$27</f>
        <v/>
      </c>
      <c r="H8" s="4" t="inlineStr">
        <is>
          <t>أول شهر مساهمة موجبة</t>
        </is>
      </c>
      <c r="I8" s="8">
        <f>'السنوي'!$C$58</f>
        <v/>
      </c>
    </row>
    <row r="9">
      <c r="A9" s="4" t="inlineStr">
        <is>
          <t>مجمل الربح</t>
        </is>
      </c>
      <c r="B9" s="5">
        <f>'السنوي'!D$29</f>
        <v/>
      </c>
      <c r="C9" s="5">
        <f>'السنوي'!E$29</f>
        <v/>
      </c>
      <c r="D9" s="5">
        <f>'السنوي'!F$29</f>
        <v/>
      </c>
      <c r="E9" s="5">
        <f>'السنوي'!G$29</f>
        <v/>
      </c>
      <c r="F9" s="5">
        <f>'السنوي'!H$29</f>
        <v/>
      </c>
      <c r="H9" s="4" t="inlineStr">
        <is>
          <t>أول شهر EBITDA موجبة</t>
        </is>
      </c>
      <c r="I9" s="8">
        <f>'السنوي'!$C$57</f>
        <v/>
      </c>
    </row>
    <row r="10">
      <c r="A10" s="4" t="inlineStr">
        <is>
          <t>نسبة الاستقطاع (مجمل الربح % من GMV)</t>
        </is>
      </c>
      <c r="B10" s="9">
        <f>'السنوي'!D$30</f>
        <v/>
      </c>
      <c r="C10" s="9">
        <f>'السنوي'!E$30</f>
        <v/>
      </c>
      <c r="D10" s="9">
        <f>'السنوي'!F$30</f>
        <v/>
      </c>
      <c r="E10" s="9">
        <f>'السنوي'!G$30</f>
        <v/>
      </c>
      <c r="F10" s="9">
        <f>'السنوي'!H$30</f>
        <v/>
      </c>
      <c r="H10" s="4" t="inlineStr">
        <is>
          <t>فحص التمويل</t>
        </is>
      </c>
      <c r="I10" s="10">
        <f>'السنوي'!$C$60</f>
        <v/>
      </c>
    </row>
    <row r="11">
      <c r="A11" s="4" t="inlineStr">
        <is>
          <t>المساهمة لكل طلب</t>
        </is>
      </c>
      <c r="B11" s="11">
        <f>'السنوي'!D$37</f>
        <v/>
      </c>
      <c r="C11" s="11">
        <f>'السنوي'!E$37</f>
        <v/>
      </c>
      <c r="D11" s="11">
        <f>'السنوي'!F$37</f>
        <v/>
      </c>
      <c r="E11" s="11">
        <f>'السنوي'!G$37</f>
        <v/>
      </c>
      <c r="F11" s="11">
        <f>'السنوي'!H$37</f>
        <v/>
      </c>
      <c r="H11" s="4" t="inlineStr">
        <is>
          <t>المساهمة مدى الحياة ÷ CAC (السنة 3)</t>
        </is>
      </c>
      <c r="I11" s="12">
        <f>'السنوي'!$C$63</f>
        <v/>
      </c>
    </row>
    <row r="12">
      <c r="A12" s="4" t="inlineStr">
        <is>
          <t>EBITDA</t>
        </is>
      </c>
      <c r="B12" s="5">
        <f>'السنوي'!D$42</f>
        <v/>
      </c>
      <c r="C12" s="5">
        <f>'السنوي'!E$42</f>
        <v/>
      </c>
      <c r="D12" s="5">
        <f>'السنوي'!F$42</f>
        <v/>
      </c>
      <c r="E12" s="5">
        <f>'السنوي'!G$42</f>
        <v/>
      </c>
      <c r="F12" s="5">
        <f>'السنوي'!H$42</f>
        <v/>
      </c>
      <c r="H12" s="4" t="inlineStr">
        <is>
          <t>استرداد CAC (السنة 3)</t>
        </is>
      </c>
      <c r="I12" s="13">
        <f>'السنوي'!$C$64</f>
        <v/>
      </c>
    </row>
    <row r="13">
      <c r="A13" s="4" t="inlineStr">
        <is>
          <t>صافي الدخل</t>
        </is>
      </c>
      <c r="B13" s="5">
        <f>'السنوي'!D$46</f>
        <v/>
      </c>
      <c r="C13" s="5">
        <f>'السنوي'!E$46</f>
        <v/>
      </c>
      <c r="D13" s="5">
        <f>'السنوي'!F$46</f>
        <v/>
      </c>
      <c r="E13" s="5">
        <f>'السنوي'!G$46</f>
        <v/>
      </c>
      <c r="F13" s="5">
        <f>'السنوي'!H$46</f>
        <v/>
      </c>
    </row>
    <row r="14">
      <c r="A14" s="4" t="inlineStr">
        <is>
          <t>رصيد النقدية (ديسمبر)</t>
        </is>
      </c>
      <c r="B14" s="5">
        <f>'السنوي'!D$53</f>
        <v/>
      </c>
      <c r="C14" s="5">
        <f>'السنوي'!E$53</f>
        <v/>
      </c>
      <c r="D14" s="5">
        <f>'السنوي'!F$53</f>
        <v/>
      </c>
      <c r="E14" s="5">
        <f>'السنوي'!G$53</f>
        <v/>
      </c>
      <c r="F14" s="5">
        <f>'السنوي'!H$53</f>
        <v/>
      </c>
    </row>
    <row r="15"/>
    <row r="16"/>
    <row r="17"/>
    <row r="18">
      <c r="A18" s="14" t="inlineStr">
        <is>
          <t>بيانات الرسم — مجمل الربح حسب المصدر (ج.م)</t>
        </is>
      </c>
    </row>
    <row r="19">
      <c r="A19" s="15" t="inlineStr">
        <is>
          <t>المصدر</t>
        </is>
      </c>
      <c r="B19" s="15" t="inlineStr">
        <is>
          <t>2027</t>
        </is>
      </c>
      <c r="C19" s="15" t="inlineStr">
        <is>
          <t>2028</t>
        </is>
      </c>
      <c r="D19" s="15" t="inlineStr">
        <is>
          <t>2029</t>
        </is>
      </c>
      <c r="E19" s="15" t="inlineStr">
        <is>
          <t>2030</t>
        </is>
      </c>
      <c r="F19" s="15" t="inlineStr">
        <is>
          <t>2031</t>
        </is>
      </c>
    </row>
    <row r="20">
      <c r="A20" s="16" t="inlineStr">
        <is>
          <t>هامش المنتجات</t>
        </is>
      </c>
      <c r="B20" s="17">
        <f>'مصادر الإيراد'!G4</f>
        <v/>
      </c>
      <c r="C20" s="17">
        <f>'مصادر الإيراد'!H4</f>
        <v/>
      </c>
      <c r="D20" s="17">
        <f>'مصادر الإيراد'!I4</f>
        <v/>
      </c>
      <c r="E20" s="17">
        <f>'مصادر الإيراد'!J4</f>
        <v/>
      </c>
      <c r="F20" s="17">
        <f>'مصادر الإيراد'!K4</f>
        <v/>
      </c>
    </row>
    <row r="21">
      <c r="A21" s="16" t="inlineStr">
        <is>
          <t>السوق والصيدليات</t>
        </is>
      </c>
      <c r="B21" s="17">
        <f>'مصادر الإيراد'!G5</f>
        <v/>
      </c>
      <c r="C21" s="17">
        <f>'مصادر الإيراد'!H5</f>
        <v/>
      </c>
      <c r="D21" s="17">
        <f>'مصادر الإيراد'!I5</f>
        <v/>
      </c>
      <c r="E21" s="17">
        <f>'مصادر الإيراد'!J5</f>
        <v/>
      </c>
      <c r="F21" s="17">
        <f>'مصادر الإيراد'!K5</f>
        <v/>
      </c>
    </row>
    <row r="22">
      <c r="A22" s="16" t="inlineStr">
        <is>
          <t>الأكل</t>
        </is>
      </c>
      <c r="B22" s="17">
        <f>'مصادر الإيراد'!G6</f>
        <v/>
      </c>
      <c r="C22" s="17">
        <f>'مصادر الإيراد'!H6</f>
        <v/>
      </c>
      <c r="D22" s="17">
        <f>'مصادر الإيراد'!I6</f>
        <v/>
      </c>
      <c r="E22" s="17">
        <f>'مصادر الإيراد'!J6</f>
        <v/>
      </c>
      <c r="F22" s="17">
        <f>'مصادر الإيراد'!K6</f>
        <v/>
      </c>
    </row>
    <row r="23">
      <c r="A23" s="16" t="inlineStr">
        <is>
          <t>رسوم التوصيل</t>
        </is>
      </c>
      <c r="B23" s="17">
        <f>'مصادر الإيراد'!G7</f>
        <v/>
      </c>
      <c r="C23" s="17">
        <f>'مصادر الإيراد'!H7</f>
        <v/>
      </c>
      <c r="D23" s="17">
        <f>'مصادر الإيراد'!I7</f>
        <v/>
      </c>
      <c r="E23" s="17">
        <f>'مصادر الإيراد'!J7</f>
        <v/>
      </c>
      <c r="F23" s="17">
        <f>'مصادر الإيراد'!K7</f>
        <v/>
      </c>
    </row>
    <row r="24">
      <c r="A24" s="16" t="inlineStr">
        <is>
          <t>رسوم الخدمة</t>
        </is>
      </c>
      <c r="B24" s="17">
        <f>'مصادر الإيراد'!G8</f>
        <v/>
      </c>
      <c r="C24" s="17">
        <f>'مصادر الإيراد'!H8</f>
        <v/>
      </c>
      <c r="D24" s="17">
        <f>'مصادر الإيراد'!I8</f>
        <v/>
      </c>
      <c r="E24" s="17">
        <f>'مصادر الإيراد'!J8</f>
        <v/>
      </c>
      <c r="F24" s="17">
        <f>'مصادر الإيراد'!K8</f>
        <v/>
      </c>
    </row>
    <row r="25">
      <c r="A25" s="16" t="inlineStr">
        <is>
          <t>توّا+</t>
        </is>
      </c>
      <c r="B25" s="17">
        <f>'مصادر الإيراد'!G9</f>
        <v/>
      </c>
      <c r="C25" s="17">
        <f>'مصادر الإيراد'!H9</f>
        <v/>
      </c>
      <c r="D25" s="17">
        <f>'مصادر الإيراد'!I9</f>
        <v/>
      </c>
      <c r="E25" s="17">
        <f>'مصادر الإيراد'!J9</f>
        <v/>
      </c>
      <c r="F25" s="17">
        <f>'مصادر الإيراد'!K9</f>
        <v/>
      </c>
    </row>
    <row r="26">
      <c r="A26" s="16" t="inlineStr">
        <is>
          <t>التوصيل كخدمة</t>
        </is>
      </c>
      <c r="B26" s="17">
        <f>'مصادر الإيراد'!G10</f>
        <v/>
      </c>
      <c r="C26" s="17">
        <f>'مصادر الإيراد'!H10</f>
        <v/>
      </c>
      <c r="D26" s="17">
        <f>'مصادر الإيراد'!I10</f>
        <v/>
      </c>
      <c r="E26" s="17">
        <f>'مصادر الإيراد'!J10</f>
        <v/>
      </c>
      <c r="F26" s="17">
        <f>'مصادر الإيراد'!K10</f>
        <v/>
      </c>
    </row>
    <row r="27">
      <c r="A27" s="16" t="inlineStr">
        <is>
          <t>إعلانات التطبيق</t>
        </is>
      </c>
      <c r="B27" s="17">
        <f>'مصادر الإيراد'!G11</f>
        <v/>
      </c>
      <c r="C27" s="17">
        <f>'مصادر الإيراد'!H11</f>
        <v/>
      </c>
      <c r="D27" s="17">
        <f>'مصادر الإيراد'!I11</f>
        <v/>
      </c>
      <c r="E27" s="17">
        <f>'مصادر الإيراد'!J11</f>
        <v/>
      </c>
      <c r="F27" s="17">
        <f>'مصادر الإيراد'!K11</f>
        <v/>
      </c>
    </row>
    <row r="28">
      <c r="A28" s="16" t="inlineStr">
        <is>
          <t>حوافز الموردين</t>
        </is>
      </c>
      <c r="B28" s="17">
        <f>'مصادر الإيراد'!G12</f>
        <v/>
      </c>
      <c r="C28" s="17">
        <f>'مصادر الإيراد'!H12</f>
        <v/>
      </c>
      <c r="D28" s="17">
        <f>'مصادر الإيراد'!I12</f>
        <v/>
      </c>
      <c r="E28" s="17">
        <f>'مصادر الإيراد'!J12</f>
        <v/>
      </c>
      <c r="F28" s="17">
        <f>'مصادر الإيراد'!K12</f>
        <v/>
      </c>
    </row>
    <row r="29"/>
    <row r="30">
      <c r="A30" s="14" t="n"/>
    </row>
    <row r="31">
      <c r="A31" t="inlineStr">
        <is>
          <t>طريقة استخدام النموذج</t>
        </is>
      </c>
    </row>
    <row r="32">
      <c r="A32" s="16" t="inlineStr">
        <is>
          <t>1. غيّر المدخلات في ورقة الافتراضات فقط (النص الأزرق؛ الأصفر = الروافع الرئيسية).</t>
        </is>
      </c>
    </row>
    <row r="33">
      <c r="A33" s="16" t="inlineStr">
        <is>
          <t>2. بدّل السيناريو من خلية الافتراضات!C6: 1 المتحفظ · 2 الأساسي · 3 المتفائل.</t>
        </is>
      </c>
    </row>
    <row r="34">
      <c r="A34" s="16" t="inlineStr">
        <is>
          <t>3. النموذج = محرك شهري (أكتوبر 2026 – ديسمبر 2031). أوراق السنوي واقتصاديات الوحدة ومصادر الإيراد تجمّعه.</t>
        </is>
      </c>
    </row>
    <row r="35">
      <c r="A35" s="16" t="inlineStr">
        <is>
          <t>4. الألوان: أزرق مدخل · أسود معادلة · أخضر ربط بورقة أخرى. كل القيم بالجنيه الاسمي بدون ضريبة القيمة المضافة.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2"/>
  <sheetViews>
    <sheetView showGridLines="0" rightToLeft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0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66" customWidth="1" min="8" max="8"/>
  </cols>
  <sheetData>
    <row r="1">
      <c r="A1" s="18" t="inlineStr">
        <is>
          <t>توّا — الافتراضات (كل المدخلات هنا)</t>
        </is>
      </c>
    </row>
    <row r="2">
      <c r="A2" s="19" t="inlineStr">
        <is>
          <t>الأزرق = مدخل قابل للتغيير · الأصفر = رافعة رئيسية · القيم بالجنيه الاسمي (تضخم ≈10–12% سنوياً داخل المدخلات السنوية)، بدون ضريبة القيمة المضافة. 2027 = السنة الأولى (تجربة يناير، إطلاق عام فبراير). الأفق: أكتوبر 2026 – ديسمبر 2031.</t>
        </is>
      </c>
    </row>
    <row r="3"/>
    <row r="4"/>
    <row r="5">
      <c r="A5" s="20" t="inlineStr">
        <is>
          <t>1 · السيناريو</t>
        </is>
      </c>
      <c r="B5" s="21" t="n"/>
      <c r="C5" s="21" t="n"/>
      <c r="D5" s="21" t="n"/>
      <c r="E5" s="21" t="n"/>
      <c r="F5" s="21" t="n"/>
      <c r="G5" s="21" t="n"/>
      <c r="H5" s="21" t="n"/>
    </row>
    <row r="6">
      <c r="A6" s="4" t="inlineStr">
        <is>
          <t>السيناريو المختار (1 = المتحفظ، 2 = الأساسي، 3 = المتفائل)</t>
        </is>
      </c>
      <c r="B6" s="22" t="inlineStr">
        <is>
          <t>#</t>
        </is>
      </c>
      <c r="C6" s="23" t="n">
        <v>2</v>
      </c>
      <c r="H6" s="24" t="inlineStr">
        <is>
          <t>غيّر الخلية دي بس لتبديل النموذج كله.</t>
        </is>
      </c>
    </row>
    <row r="7">
      <c r="A7" s="25" t="inlineStr">
        <is>
          <t>معامل السيناريو</t>
        </is>
      </c>
      <c r="B7" s="25" t="inlineStr">
        <is>
          <t>الوحدة</t>
        </is>
      </c>
      <c r="C7" s="25" t="inlineStr">
        <is>
          <t>المتحفظ</t>
        </is>
      </c>
      <c r="D7" s="25" t="inlineStr">
        <is>
          <t>الأساسي</t>
        </is>
      </c>
      <c r="E7" s="25" t="inlineStr">
        <is>
          <t>المتفائل</t>
        </is>
      </c>
      <c r="F7" s="25" t="inlineStr">
        <is>
          <t>نشط</t>
        </is>
      </c>
      <c r="G7" s="25" t="inlineStr"/>
      <c r="H7" s="25" t="inlineStr">
        <is>
          <t>طريقة التطبيق</t>
        </is>
      </c>
    </row>
    <row r="8">
      <c r="A8" s="4" t="inlineStr">
        <is>
          <t>معامل تكلفة استحواذ العميل</t>
        </is>
      </c>
      <c r="B8" s="22" t="inlineStr">
        <is>
          <t>×</t>
        </is>
      </c>
      <c r="C8" s="26" t="n">
        <v>1.25</v>
      </c>
      <c r="D8" s="26" t="n">
        <v>1</v>
      </c>
      <c r="E8" s="26" t="n">
        <v>0.85</v>
      </c>
      <c r="F8" s="27">
        <f>INDEX(C8:E8,$C$6)</f>
        <v/>
      </c>
      <c r="H8" s="24" t="inlineStr">
        <is>
          <t>يضرب في CAC السنوي.</t>
        </is>
      </c>
    </row>
    <row r="9">
      <c r="A9" s="4" t="inlineStr">
        <is>
          <t>تعديل الاحتفاظ الشهري</t>
        </is>
      </c>
      <c r="B9" s="22" t="inlineStr">
        <is>
          <t>نقطة</t>
        </is>
      </c>
      <c r="C9" s="28" t="n">
        <v>-0.04</v>
      </c>
      <c r="D9" s="28" t="n">
        <v>0</v>
      </c>
      <c r="E9" s="28" t="n">
        <v>0.02</v>
      </c>
      <c r="F9" s="29">
        <f>INDEX(C9:E9,$C$6)</f>
        <v/>
      </c>
      <c r="H9" s="24" t="inlineStr">
        <is>
          <t>تُضاف للاحتفاظ السنوي (بحد أقصى 95%).</t>
        </is>
      </c>
    </row>
    <row r="10">
      <c r="A10" s="4" t="inlineStr">
        <is>
          <t>معامل تكرار الطلب</t>
        </is>
      </c>
      <c r="B10" s="22" t="inlineStr">
        <is>
          <t>×</t>
        </is>
      </c>
      <c r="C10" s="26" t="n">
        <v>0.85</v>
      </c>
      <c r="D10" s="26" t="n">
        <v>1</v>
      </c>
      <c r="E10" s="26" t="n">
        <v>1.1</v>
      </c>
      <c r="F10" s="27">
        <f>INDEX(C10:E10,$C$6)</f>
        <v/>
      </c>
      <c r="H10" s="24" t="inlineStr">
        <is>
          <t>يضرب في طلبات العميل النشط شهرياً.</t>
        </is>
      </c>
    </row>
    <row r="11">
      <c r="A11" s="4" t="inlineStr">
        <is>
          <t>معامل حجم السلة (AOV)</t>
        </is>
      </c>
      <c r="B11" s="22" t="inlineStr">
        <is>
          <t>×</t>
        </is>
      </c>
      <c r="C11" s="26" t="n">
        <v>0.92</v>
      </c>
      <c r="D11" s="26" t="n">
        <v>1</v>
      </c>
      <c r="E11" s="26" t="n">
        <v>1.05</v>
      </c>
      <c r="F11" s="27">
        <f>INDEX(C11:E11,$C$6)</f>
        <v/>
      </c>
      <c r="H11" s="24" t="inlineStr">
        <is>
          <t>يضرب في متوسط قيمة الطلب.</t>
        </is>
      </c>
    </row>
    <row r="12"/>
    <row r="13">
      <c r="A13" s="20" t="inlineStr">
        <is>
          <t>2 · الجدول الزمني والسوق</t>
        </is>
      </c>
      <c r="B13" s="21" t="n"/>
      <c r="C13" s="21" t="n"/>
      <c r="D13" s="21" t="n"/>
      <c r="E13" s="21" t="n"/>
      <c r="F13" s="21" t="n"/>
      <c r="G13" s="21" t="n"/>
      <c r="H13" s="21" t="n"/>
    </row>
    <row r="14">
      <c r="A14" s="25" t="inlineStr">
        <is>
          <t>المدخل</t>
        </is>
      </c>
      <c r="B14" s="25" t="inlineStr">
        <is>
          <t>الوحدة</t>
        </is>
      </c>
      <c r="C14" s="25" t="inlineStr">
        <is>
          <t>القيمة</t>
        </is>
      </c>
      <c r="D14" s="25" t="inlineStr"/>
      <c r="E14" s="25" t="inlineStr"/>
      <c r="F14" s="25" t="inlineStr"/>
      <c r="G14" s="25" t="inlineStr"/>
      <c r="H14" s="25" t="inlineStr">
        <is>
          <t>ملاحظة / المصدر</t>
        </is>
      </c>
    </row>
    <row r="15">
      <c r="A15" s="4" t="inlineStr">
        <is>
          <t>بداية النموذج (أول شهر قبل الإطلاق)</t>
        </is>
      </c>
      <c r="B15" s="22" t="inlineStr">
        <is>
          <t>التاريخ</t>
        </is>
      </c>
      <c r="C15" s="30" t="n">
        <v>46296</v>
      </c>
      <c r="H15" s="24" t="inlineStr">
        <is>
          <t>أكتوبر–ديسمبر 2026 = بناء ما قبل الإطلاق. يناير 2027 = التجربة (الشهر التشغيلي 1). فبراير 2027 = الإطلاق العام.</t>
        </is>
      </c>
    </row>
    <row r="16">
      <c r="A16" s="4" t="inlineStr">
        <is>
          <t>سكان مركز أبو المطامير</t>
        </is>
      </c>
      <c r="B16" s="22" t="inlineStr">
        <is>
          <t>نسمة</t>
        </is>
      </c>
      <c r="C16" s="31" t="n">
        <v>480000</v>
      </c>
      <c r="H16" s="24" t="inlineStr">
        <is>
          <t>تقدير — تحقق من آخر تعداد للجهاز المركزي للتعبئة العامة والإحصاء قبل الاستخدام الخارجي.</t>
        </is>
      </c>
    </row>
    <row r="17">
      <c r="A17" s="4" t="inlineStr">
        <is>
          <t>متوسط حجم الأسرة</t>
        </is>
      </c>
      <c r="B17" s="22" t="inlineStr">
        <is>
          <t>نسمة</t>
        </is>
      </c>
      <c r="C17" s="32" t="n">
        <v>4.6</v>
      </c>
      <c r="H17" s="24" t="inlineStr">
        <is>
          <t>تقدير لريف البحيرة؛ تحقق من الجهاز المركزي للتعبئة العامة والإحصاء.</t>
        </is>
      </c>
    </row>
    <row r="18">
      <c r="A18" s="25" t="inlineStr">
        <is>
          <t>المدخل</t>
        </is>
      </c>
      <c r="B18" s="25" t="inlineStr">
        <is>
          <t>الوحدة</t>
        </is>
      </c>
      <c r="C18" s="25" t="inlineStr">
        <is>
          <t>2027</t>
        </is>
      </c>
      <c r="D18" s="25" t="inlineStr">
        <is>
          <t>2028</t>
        </is>
      </c>
      <c r="E18" s="25" t="inlineStr">
        <is>
          <t>2029</t>
        </is>
      </c>
      <c r="F18" s="25" t="inlineStr">
        <is>
          <t>2030</t>
        </is>
      </c>
      <c r="G18" s="25" t="inlineStr">
        <is>
          <t>2031</t>
        </is>
      </c>
      <c r="H18" s="25" t="inlineStr">
        <is>
          <t>ملاحظة / المصدر</t>
        </is>
      </c>
    </row>
    <row r="19">
      <c r="A19" s="4" t="inlineStr">
        <is>
          <t>حصة الأسر داخل مناطق التوصيل المفعّلة</t>
        </is>
      </c>
      <c r="B19" s="22" t="inlineStr">
        <is>
          <t>%</t>
        </is>
      </c>
      <c r="C19" s="28" t="n">
        <v>0.35</v>
      </c>
      <c r="D19" s="28" t="n">
        <v>0.6</v>
      </c>
      <c r="E19" s="28" t="n">
        <v>0.8</v>
      </c>
      <c r="F19" s="28" t="n">
        <v>0.9</v>
      </c>
      <c r="G19" s="28" t="n">
        <v>0.95</v>
      </c>
      <c r="H19" s="24" t="inlineStr">
        <is>
          <t>وسط المدينة أولاً، ثم القرى منطقة منطقة (الهب 2 و3 يوسّعان الوصول).</t>
        </is>
      </c>
    </row>
    <row r="20">
      <c r="A20" s="4" t="inlineStr">
        <is>
          <t>الهب 2 (هب قرية صغير) يفتح في الشهر التشغيلي</t>
        </is>
      </c>
      <c r="B20" s="22" t="inlineStr">
        <is>
          <t>#</t>
        </is>
      </c>
      <c r="C20" s="33" t="n">
        <v>16</v>
      </c>
      <c r="H20" s="24" t="inlineStr">
        <is>
          <t>أبريل 2028. التجهيز يُدفع في الشهر السابق.</t>
        </is>
      </c>
    </row>
    <row r="21">
      <c r="A21" s="4" t="inlineStr">
        <is>
          <t>الهب 3 (هب قرية صغير) يفتح في الشهر التشغيلي</t>
        </is>
      </c>
      <c r="B21" s="22" t="inlineStr">
        <is>
          <t>#</t>
        </is>
      </c>
      <c r="C21" s="33" t="n">
        <v>28</v>
      </c>
      <c r="H21" s="24" t="inlineStr">
        <is>
          <t>أبريل 2029.</t>
        </is>
      </c>
    </row>
    <row r="22"/>
    <row r="23">
      <c r="A23" s="20" t="inlineStr">
        <is>
          <t>3 · استحواذ العملاء والاحتفاظ بهم</t>
        </is>
      </c>
      <c r="B23" s="21" t="n"/>
      <c r="C23" s="21" t="n"/>
      <c r="D23" s="21" t="n"/>
      <c r="E23" s="21" t="n"/>
      <c r="F23" s="21" t="n"/>
      <c r="G23" s="21" t="n"/>
      <c r="H23" s="21" t="n"/>
    </row>
    <row r="24">
      <c r="A24" s="25" t="inlineStr">
        <is>
          <t>المدخل</t>
        </is>
      </c>
      <c r="B24" s="25" t="inlineStr">
        <is>
          <t>الوحدة</t>
        </is>
      </c>
      <c r="C24" s="25" t="inlineStr">
        <is>
          <t>2027</t>
        </is>
      </c>
      <c r="D24" s="25" t="inlineStr">
        <is>
          <t>2028</t>
        </is>
      </c>
      <c r="E24" s="25" t="inlineStr">
        <is>
          <t>2029</t>
        </is>
      </c>
      <c r="F24" s="25" t="inlineStr">
        <is>
          <t>2030</t>
        </is>
      </c>
      <c r="G24" s="25" t="inlineStr">
        <is>
          <t>2031</t>
        </is>
      </c>
      <c r="H24" s="25" t="inlineStr">
        <is>
          <t>ملاحظة / المصدر</t>
        </is>
      </c>
    </row>
    <row r="25">
      <c r="A25" s="4" t="inlineStr">
        <is>
          <t>إنفاق الاستحواذ — شهر التجربة (يناير 2027)</t>
        </is>
      </c>
      <c r="B25" s="22" t="inlineStr">
        <is>
          <t>ج.م</t>
        </is>
      </c>
      <c r="C25" s="34" t="n">
        <v>60000</v>
      </c>
      <c r="H25" s="24" t="inlineStr">
        <is>
          <t>تجربة بالدعوة: حوالي 400 أسرة، قسائم أول طلب.</t>
        </is>
      </c>
    </row>
    <row r="26">
      <c r="A26" s="4" t="inlineStr">
        <is>
          <t>إنفاق الاستحواذ — شهر الإطلاق (فبراير 2027)</t>
        </is>
      </c>
      <c r="B26" s="22" t="inlineStr">
        <is>
          <t>ج.م</t>
        </is>
      </c>
      <c r="C26" s="34" t="n">
        <v>200000</v>
      </c>
      <c r="H26" s="24" t="inlineStr">
        <is>
          <t>دفعة الإطلاق العام: فلاير وجروبات واتساب ومؤثرين وفعاليات إطلاق وخصم 30% على أول طلب.</t>
        </is>
      </c>
    </row>
    <row r="27">
      <c r="A27" s="4" t="inlineStr">
        <is>
          <t>إنفاق الاستحواذ — الشهر الثالث (مارس 2027)</t>
        </is>
      </c>
      <c r="B27" s="22" t="inlineStr">
        <is>
          <t>ج.م</t>
        </is>
      </c>
      <c r="C27" s="31" t="n">
        <v>160000</v>
      </c>
      <c r="H27" s="24" t="inlineStr">
        <is>
          <t>الحفاظ على زخم الإطلاق وبدء التشويق في القرى.</t>
        </is>
      </c>
    </row>
    <row r="28">
      <c r="A28" s="4" t="inlineStr">
        <is>
          <t>إنفاق الاستحواذ — المعدل الشهري بعد ذلك</t>
        </is>
      </c>
      <c r="B28" s="22" t="inlineStr">
        <is>
          <t>ج.م/شهر</t>
        </is>
      </c>
      <c r="C28" s="34" t="n">
        <v>120000</v>
      </c>
      <c r="D28" s="34" t="n">
        <v>160000</v>
      </c>
      <c r="E28" s="34" t="n">
        <v>200000</v>
      </c>
      <c r="F28" s="34" t="n">
        <v>230000</v>
      </c>
      <c r="G28" s="34" t="n">
        <v>250000</v>
      </c>
      <c r="H28" s="24" t="inlineStr">
        <is>
          <t>استحواذ مدفوع وعروض؛ يزيد مع كل منطقة قرية جديدة.</t>
        </is>
      </c>
    </row>
    <row r="29">
      <c r="A29" s="4" t="inlineStr">
        <is>
          <t>CAC المجمّع (استحواذ مدفوع شامل خصم أول طلب)</t>
        </is>
      </c>
      <c r="B29" s="22" t="inlineStr">
        <is>
          <t>ج.م/عميل</t>
        </is>
      </c>
      <c r="C29" s="34" t="n">
        <v>130</v>
      </c>
      <c r="D29" s="34" t="n">
        <v>150</v>
      </c>
      <c r="E29" s="34" t="n">
        <v>170</v>
      </c>
      <c r="F29" s="34" t="n">
        <v>185</v>
      </c>
      <c r="G29" s="34" t="n">
        <v>200</v>
      </c>
      <c r="H29" s="24" t="inlineStr">
        <is>
          <t>افتراض: ترتفع بعد استنفاد المتبنين الأوائل. تتأكد بعد التجربة.</t>
        </is>
      </c>
    </row>
    <row r="30">
      <c r="A30" s="4" t="inlineStr">
        <is>
          <t>أقصى اختراق ممكن للأسر في نطاق الوصول</t>
        </is>
      </c>
      <c r="B30" s="22" t="inlineStr">
        <is>
          <t>%</t>
        </is>
      </c>
      <c r="C30" s="28" t="n">
        <v>0.3</v>
      </c>
      <c r="H30" s="24" t="inlineStr">
        <is>
          <t>حد التشبع: استحواذ العملاء الجدد يبطئ خطياً مع اقتراب الاختراق من السقف ده.</t>
        </is>
      </c>
    </row>
    <row r="31">
      <c r="A31" s="4" t="inlineStr">
        <is>
          <t>العملاء العضويون والإحالة كنسبة من المدفوع</t>
        </is>
      </c>
      <c r="B31" s="22" t="inlineStr">
        <is>
          <t>%</t>
        </is>
      </c>
      <c r="C31" s="28" t="n">
        <v>0.2</v>
      </c>
      <c r="D31" s="28" t="n">
        <v>0.3</v>
      </c>
      <c r="E31" s="28" t="n">
        <v>0.35</v>
      </c>
      <c r="F31" s="28" t="n">
        <v>0.38</v>
      </c>
      <c r="G31" s="28" t="n">
        <v>0.4</v>
      </c>
      <c r="H31" s="24" t="inlineStr">
        <is>
          <t>إحالة 50 ج.م لكل طرف، كلام الناس، تمييز المناديب.</t>
        </is>
      </c>
    </row>
    <row r="32">
      <c r="A32" s="4" t="inlineStr">
        <is>
          <t>الاحتفاظ الشهري بالعملاء النشطين</t>
        </is>
      </c>
      <c r="B32" s="22" t="inlineStr">
        <is>
          <t>%</t>
        </is>
      </c>
      <c r="C32" s="35" t="n">
        <v>0.72</v>
      </c>
      <c r="D32" s="35" t="n">
        <v>0.78</v>
      </c>
      <c r="E32" s="35" t="n">
        <v>0.8100000000000001</v>
      </c>
      <c r="F32" s="35" t="n">
        <v>0.83</v>
      </c>
      <c r="G32" s="35" t="n">
        <v>0.84</v>
      </c>
      <c r="H32" s="24" t="inlineStr">
        <is>
          <t>نسبة العملاء النشطين الشهر اللي فات اللي طلبوا تاني الشهر ده.</t>
        </is>
      </c>
    </row>
    <row r="33">
      <c r="A33" s="4" t="inlineStr">
        <is>
          <t>طلبات العميل النشط شهرياً</t>
        </is>
      </c>
      <c r="B33" s="22" t="inlineStr">
        <is>
          <t>طلب</t>
        </is>
      </c>
      <c r="C33" s="36" t="n">
        <v>2.8</v>
      </c>
      <c r="D33" s="36" t="n">
        <v>3.3</v>
      </c>
      <c r="E33" s="36" t="n">
        <v>3.7</v>
      </c>
      <c r="F33" s="36" t="n">
        <v>4</v>
      </c>
      <c r="G33" s="36" t="n">
        <v>4.2</v>
      </c>
      <c r="H33" s="24" t="inlineStr">
        <is>
          <t>سلوك الطلبات التكميلية: عيش ولبن ومياه وحفاضات أكتر من مرة في الأسبوع.</t>
        </is>
      </c>
    </row>
    <row r="34"/>
    <row r="35">
      <c r="A35" s="20" t="inlineStr">
        <is>
          <t>4 · السلة ومزيج الأقسام</t>
        </is>
      </c>
      <c r="B35" s="21" t="n"/>
      <c r="C35" s="21" t="n"/>
      <c r="D35" s="21" t="n"/>
      <c r="E35" s="21" t="n"/>
      <c r="F35" s="21" t="n"/>
      <c r="G35" s="21" t="n"/>
      <c r="H35" s="21" t="n"/>
    </row>
    <row r="36">
      <c r="A36" s="25" t="inlineStr">
        <is>
          <t>المدخل</t>
        </is>
      </c>
      <c r="B36" s="25" t="inlineStr">
        <is>
          <t>الوحدة</t>
        </is>
      </c>
      <c r="C36" s="25" t="inlineStr">
        <is>
          <t>2027</t>
        </is>
      </c>
      <c r="D36" s="25" t="inlineStr">
        <is>
          <t>2028</t>
        </is>
      </c>
      <c r="E36" s="25" t="inlineStr">
        <is>
          <t>2029</t>
        </is>
      </c>
      <c r="F36" s="25" t="inlineStr">
        <is>
          <t>2030</t>
        </is>
      </c>
      <c r="G36" s="25" t="inlineStr">
        <is>
          <t>2031</t>
        </is>
      </c>
      <c r="H36" s="25" t="inlineStr">
        <is>
          <t>ملاحظة / المصدر</t>
        </is>
      </c>
    </row>
    <row r="37">
      <c r="A37" s="4" t="inlineStr">
        <is>
          <t>متوسط قيمة الطلب (AOV)</t>
        </is>
      </c>
      <c r="B37" s="22" t="inlineStr">
        <is>
          <t>ج.م</t>
        </is>
      </c>
      <c r="C37" s="34" t="n">
        <v>270</v>
      </c>
      <c r="D37" s="34" t="n">
        <v>315</v>
      </c>
      <c r="E37" s="34" t="n">
        <v>360</v>
      </c>
      <c r="F37" s="34" t="n">
        <v>400</v>
      </c>
      <c r="G37" s="34" t="n">
        <v>440</v>
      </c>
      <c r="H37" s="24" t="inlineStr">
        <is>
          <t>اسمي، شامل تضخم حوالي 12% سنوياً ونمو السلة.</t>
        </is>
      </c>
    </row>
    <row r="38">
      <c r="A38" s="4" t="inlineStr">
        <is>
          <t>مزيج GMV — مخزون توّا المملوك (الهب)</t>
        </is>
      </c>
      <c r="B38" s="22" t="inlineStr">
        <is>
          <t>% من GMV</t>
        </is>
      </c>
      <c r="C38" s="28" t="n">
        <v>0.62</v>
      </c>
      <c r="D38" s="28" t="n">
        <v>0.58</v>
      </c>
      <c r="E38" s="28" t="n">
        <v>0.55</v>
      </c>
      <c r="F38" s="28" t="n">
        <v>0.53</v>
      </c>
      <c r="G38" s="28" t="n">
        <v>0.52</v>
      </c>
      <c r="H38" s="24" t="inlineStr">
        <is>
          <t>بقالة واحتياجات البيت ومنظفات وعناية شخصية.</t>
        </is>
      </c>
    </row>
    <row r="39">
      <c r="A39" s="4" t="inlineStr">
        <is>
          <t>مزيج GMV — السوق (تجار محليون وصيدليات شريكة)</t>
        </is>
      </c>
      <c r="B39" s="22" t="inlineStr">
        <is>
          <t>% من GMV</t>
        </is>
      </c>
      <c r="C39" s="28" t="n">
        <v>0.13</v>
      </c>
      <c r="D39" s="28" t="n">
        <v>0.15</v>
      </c>
      <c r="E39" s="28" t="n">
        <v>0.17</v>
      </c>
      <c r="F39" s="28" t="n">
        <v>0.18</v>
      </c>
      <c r="G39" s="28" t="n">
        <v>0.19</v>
      </c>
      <c r="H39" s="24" t="inlineStr">
        <is>
          <t>أدوية الصيدلية بدون روشتة تُنفّذ عبر صيدليات شريكة مرخّصة.</t>
        </is>
      </c>
    </row>
    <row r="40">
      <c r="A40" s="4" t="inlineStr">
        <is>
          <t>مزيج GMV — الأكل (مطاعم شريكة ومطبخ توّا)</t>
        </is>
      </c>
      <c r="B40" s="22" t="inlineStr">
        <is>
          <t>% من GMV</t>
        </is>
      </c>
      <c r="C40" s="28" t="n">
        <v>0.25</v>
      </c>
      <c r="D40" s="28" t="n">
        <v>0.27</v>
      </c>
      <c r="E40" s="28" t="n">
        <v>0.28</v>
      </c>
      <c r="F40" s="28" t="n">
        <v>0.29</v>
      </c>
      <c r="G40" s="28" t="n">
        <v>0.29</v>
      </c>
      <c r="H40" s="24" t="inlineStr"/>
    </row>
    <row r="41">
      <c r="A41" s="19" t="inlineStr">
        <is>
          <t>تحقق: مجموع المزيج 100%</t>
        </is>
      </c>
      <c r="C41" s="16">
        <f>IF(ABS(C38+C39+C40-1)&lt;0.0001,"سليم","خطأ")</f>
        <v/>
      </c>
      <c r="D41" s="16">
        <f>IF(ABS(D38+D39+D40-1)&lt;0.0001,"سليم","خطأ")</f>
        <v/>
      </c>
      <c r="E41" s="16">
        <f>IF(ABS(E38+E39+E40-1)&lt;0.0001,"سليم","خطأ")</f>
        <v/>
      </c>
      <c r="F41" s="16">
        <f>IF(ABS(F38+F39+F40-1)&lt;0.0001,"سليم","خطأ")</f>
        <v/>
      </c>
      <c r="G41" s="16">
        <f>IF(ABS(G38+G39+G40-1)&lt;0.0001,"سليم","خطأ")</f>
        <v/>
      </c>
    </row>
    <row r="42"/>
    <row r="43">
      <c r="A43" s="20" t="inlineStr">
        <is>
          <t>5 · مصادر الإيراد (التسعير ونسب الاستقطاع)</t>
        </is>
      </c>
      <c r="B43" s="21" t="n"/>
      <c r="C43" s="21" t="n"/>
      <c r="D43" s="21" t="n"/>
      <c r="E43" s="21" t="n"/>
      <c r="F43" s="21" t="n"/>
      <c r="G43" s="21" t="n"/>
      <c r="H43" s="21" t="n"/>
    </row>
    <row r="44">
      <c r="A44" s="25" t="inlineStr">
        <is>
          <t>المدخل</t>
        </is>
      </c>
      <c r="B44" s="25" t="inlineStr">
        <is>
          <t>الوحدة</t>
        </is>
      </c>
      <c r="C44" s="25" t="inlineStr">
        <is>
          <t>2027</t>
        </is>
      </c>
      <c r="D44" s="25" t="inlineStr">
        <is>
          <t>2028</t>
        </is>
      </c>
      <c r="E44" s="25" t="inlineStr">
        <is>
          <t>2029</t>
        </is>
      </c>
      <c r="F44" s="25" t="inlineStr">
        <is>
          <t>2030</t>
        </is>
      </c>
      <c r="G44" s="25" t="inlineStr">
        <is>
          <t>2031</t>
        </is>
      </c>
      <c r="H44" s="25" t="inlineStr">
        <is>
          <t>ملاحظة / المصدر</t>
        </is>
      </c>
    </row>
    <row r="45">
      <c r="A45" s="4" t="inlineStr">
        <is>
          <t>الهامش الأمامي على المخزون المملوك</t>
        </is>
      </c>
      <c r="B45" s="22" t="inlineStr">
        <is>
          <t>% من GMV الهب</t>
        </is>
      </c>
      <c r="C45" s="35" t="n">
        <v>0.16</v>
      </c>
      <c r="D45" s="35" t="n">
        <v>0.17</v>
      </c>
      <c r="E45" s="35" t="n">
        <v>0.18</v>
      </c>
      <c r="F45" s="35" t="n">
        <v>0.185</v>
      </c>
      <c r="G45" s="35" t="n">
        <v>0.19</v>
      </c>
      <c r="H45" s="24" t="inlineStr">
        <is>
          <t>هامش التجزئة بعد تكلفة الشراء. تجزئة البقالة في مصر عادة 12–20%؛ يتحسن مع الشراء بالكمية والعلامة الخاصة (2029+).</t>
        </is>
      </c>
    </row>
    <row r="46">
      <c r="A46" s="4" t="inlineStr">
        <is>
          <t>حوافز الموردين (خصومات ورسوم إدراج)</t>
        </is>
      </c>
      <c r="B46" s="22" t="inlineStr">
        <is>
          <t>% من GMV الهب</t>
        </is>
      </c>
      <c r="C46" s="28" t="n">
        <v>0</v>
      </c>
      <c r="D46" s="28" t="n">
        <v>0.015</v>
      </c>
      <c r="E46" s="28" t="n">
        <v>0.025</v>
      </c>
      <c r="F46" s="28" t="n">
        <v>0.03</v>
      </c>
      <c r="G46" s="28" t="n">
        <v>0.03</v>
      </c>
      <c r="H46" s="24" t="inlineStr">
        <is>
          <t>خصومات كمية من الموزعين والعلامات بعد إثبات الحجم.</t>
        </is>
      </c>
    </row>
    <row r="47">
      <c r="A47" s="4" t="inlineStr">
        <is>
          <t>إعلانات التطبيق (أماكن مدفوعة وبانرات)</t>
        </is>
      </c>
      <c r="B47" s="22" t="inlineStr">
        <is>
          <t>% من GMV الهب</t>
        </is>
      </c>
      <c r="C47" s="28" t="n">
        <v>0.003</v>
      </c>
      <c r="D47" s="28" t="n">
        <v>0.008</v>
      </c>
      <c r="E47" s="28" t="n">
        <v>0.012</v>
      </c>
      <c r="F47" s="28" t="n">
        <v>0.014</v>
      </c>
      <c r="G47" s="28" t="n">
        <v>0.015</v>
      </c>
      <c r="H47" s="24" t="inlineStr">
        <is>
          <t>ظهور ممول من العلامات؛ يُباع لموزعي السلع الاستهلاكية.</t>
        </is>
      </c>
    </row>
    <row r="48">
      <c r="A48" s="4" t="inlineStr">
        <is>
          <t>عمولة السوق</t>
        </is>
      </c>
      <c r="B48" s="22" t="inlineStr">
        <is>
          <t>% من GMV السوق</t>
        </is>
      </c>
      <c r="C48" s="35" t="n">
        <v>0.11</v>
      </c>
      <c r="D48" s="35" t="n">
        <v>0.12</v>
      </c>
      <c r="E48" s="35" t="n">
        <v>0.12</v>
      </c>
      <c r="F48" s="35" t="n">
        <v>0.12</v>
      </c>
      <c r="G48" s="35" t="n">
        <v>0.12</v>
      </c>
      <c r="H48" s="24" t="inlineStr">
        <is>
          <t>تُحصّل من التجار والصيدليات الشريكة على كل طلب.</t>
        </is>
      </c>
    </row>
    <row r="49">
      <c r="A49" s="4" t="inlineStr">
        <is>
          <t>عمولة المطاعم</t>
        </is>
      </c>
      <c r="B49" s="22" t="inlineStr">
        <is>
          <t>% من GMV الأكل</t>
        </is>
      </c>
      <c r="C49" s="35" t="n">
        <v>0.17</v>
      </c>
      <c r="D49" s="35" t="n">
        <v>0.18</v>
      </c>
      <c r="E49" s="35" t="n">
        <v>0.18</v>
      </c>
      <c r="F49" s="35" t="n">
        <v>0.18</v>
      </c>
      <c r="G49" s="35" t="n">
        <v>0.18</v>
      </c>
      <c r="H49" s="24" t="inlineStr">
        <is>
          <t>تُحصّل من المطاعم.</t>
        </is>
      </c>
    </row>
    <row r="50">
      <c r="A50" s="4" t="inlineStr">
        <is>
          <t>متوسط رسوم التوصيل المحصّلة (مزيج المدينة والقرى)</t>
        </is>
      </c>
      <c r="B50" s="22" t="inlineStr">
        <is>
          <t>ج.م/طلب</t>
        </is>
      </c>
      <c r="C50" s="34" t="n">
        <v>17</v>
      </c>
      <c r="D50" s="34" t="n">
        <v>19</v>
      </c>
      <c r="E50" s="34" t="n">
        <v>21</v>
      </c>
      <c r="F50" s="34" t="n">
        <v>23</v>
      </c>
      <c r="G50" s="34" t="n">
        <v>25</v>
      </c>
      <c r="H50" s="24" t="inlineStr">
        <is>
          <t>المدينة 10–15، القرى 20–30. مجاني فوق حد السلة.</t>
        </is>
      </c>
    </row>
    <row r="51">
      <c r="A51" s="4" t="inlineStr">
        <is>
          <t>حصة الطلبات اللي بتدفع رسوم توصيل (قبل توّا+)</t>
        </is>
      </c>
      <c r="B51" s="22" t="inlineStr">
        <is>
          <t>%</t>
        </is>
      </c>
      <c r="C51" s="28" t="n">
        <v>0.55</v>
      </c>
      <c r="D51" s="28" t="n">
        <v>0.58</v>
      </c>
      <c r="E51" s="28" t="n">
        <v>0.6</v>
      </c>
      <c r="F51" s="28" t="n">
        <v>0.6</v>
      </c>
      <c r="G51" s="28" t="n">
        <v>0.6</v>
      </c>
      <c r="H51" s="24" t="inlineStr">
        <is>
          <t>الباقي مجاني عبر حد السلة أو العروض.</t>
        </is>
      </c>
    </row>
    <row r="52">
      <c r="A52" s="4" t="inlineStr">
        <is>
          <t>رسوم الخدمة للطلب</t>
        </is>
      </c>
      <c r="B52" s="22" t="inlineStr">
        <is>
          <t>ج.م/طلب</t>
        </is>
      </c>
      <c r="C52" s="31" t="n">
        <v>3</v>
      </c>
      <c r="D52" s="31" t="n">
        <v>4</v>
      </c>
      <c r="E52" s="31" t="n">
        <v>5</v>
      </c>
      <c r="F52" s="31" t="n">
        <v>5</v>
      </c>
      <c r="G52" s="31" t="n">
        <v>6</v>
      </c>
      <c r="H52" s="24" t="inlineStr">
        <is>
          <t>رسوم ثابتة صغيرة ظاهرة بوضوح عند الدفع.</t>
        </is>
      </c>
    </row>
    <row r="53">
      <c r="A53" s="4" t="inlineStr">
        <is>
          <t>سعر اشتراك توّا+</t>
        </is>
      </c>
      <c r="B53" s="22" t="inlineStr">
        <is>
          <t>ج.م/شهر</t>
        </is>
      </c>
      <c r="C53" s="31" t="n">
        <v>0</v>
      </c>
      <c r="D53" s="31" t="n">
        <v>49</v>
      </c>
      <c r="E53" s="31" t="n">
        <v>59</v>
      </c>
      <c r="F53" s="31" t="n">
        <v>65</v>
      </c>
      <c r="G53" s="31" t="n">
        <v>72</v>
      </c>
      <c r="H53" s="24" t="inlineStr">
        <is>
          <t>إطلاق يناير 2028: توصيل مجاني بلا حدود ونقاط مضاعفة.</t>
        </is>
      </c>
    </row>
    <row r="54">
      <c r="A54" s="4" t="inlineStr">
        <is>
          <t>مشتركو توّا+ كنسبة من العملاء النشطين</t>
        </is>
      </c>
      <c r="B54" s="22" t="inlineStr">
        <is>
          <t>%</t>
        </is>
      </c>
      <c r="C54" s="28" t="n">
        <v>0</v>
      </c>
      <c r="D54" s="28" t="n">
        <v>0.05</v>
      </c>
      <c r="E54" s="28" t="n">
        <v>0.09</v>
      </c>
      <c r="F54" s="28" t="n">
        <v>0.12</v>
      </c>
      <c r="G54" s="28" t="n">
        <v>0.14</v>
      </c>
      <c r="H54" s="24" t="inlineStr"/>
    </row>
    <row r="55">
      <c r="A55" s="4" t="inlineStr">
        <is>
          <t>تكرار طلب المشتركين مقابل المتوسط</t>
        </is>
      </c>
      <c r="B55" s="22" t="inlineStr">
        <is>
          <t>×</t>
        </is>
      </c>
      <c r="C55" s="26" t="n">
        <v>1.6</v>
      </c>
      <c r="H55" s="24" t="inlineStr">
        <is>
          <t>المشتركون بيطلبوا أكتر؛ وطلباتهم من غير رسوم توصيل.</t>
        </is>
      </c>
    </row>
    <row r="56">
      <c r="A56" s="4" t="inlineStr">
        <is>
          <t>توصيلات التوصيل كخدمة في اليوم (متوسط)</t>
        </is>
      </c>
      <c r="B56" s="22" t="inlineStr">
        <is>
          <t>توصيلة/يوم</t>
        </is>
      </c>
      <c r="C56" s="31" t="n">
        <v>15</v>
      </c>
      <c r="D56" s="31" t="n">
        <v>60</v>
      </c>
      <c r="E56" s="31" t="n">
        <v>120</v>
      </c>
      <c r="F56" s="31" t="n">
        <v>180</v>
      </c>
      <c r="G56" s="31" t="n">
        <v>240</v>
      </c>
      <c r="H56" s="24" t="inlineStr">
        <is>
          <t>طلبات التجار الخاصة يوصّلها مناديب توّا. تبدأ في الشهر التشغيلي 4.</t>
        </is>
      </c>
    </row>
    <row r="57">
      <c r="A57" s="4" t="inlineStr">
        <is>
          <t>رسوم التوصيل كخدمة للتوصيلة (يدفعها التاجر)</t>
        </is>
      </c>
      <c r="B57" s="22" t="inlineStr">
        <is>
          <t>ج.م</t>
        </is>
      </c>
      <c r="C57" s="31" t="n">
        <v>22</v>
      </c>
      <c r="D57" s="31" t="n">
        <v>25</v>
      </c>
      <c r="E57" s="31" t="n">
        <v>28</v>
      </c>
      <c r="F57" s="31" t="n">
        <v>31</v>
      </c>
      <c r="G57" s="31" t="n">
        <v>34</v>
      </c>
      <c r="H57" s="24" t="inlineStr"/>
    </row>
    <row r="58">
      <c r="A58" s="4" t="inlineStr">
        <is>
          <t>التوصيل كخدمة يبدأ في الشهر التشغيلي</t>
        </is>
      </c>
      <c r="B58" s="22" t="inlineStr">
        <is>
          <t>#</t>
        </is>
      </c>
      <c r="C58" s="33" t="n">
        <v>4</v>
      </c>
      <c r="H58" s="24" t="inlineStr"/>
    </row>
    <row r="59"/>
    <row r="60">
      <c r="A60" s="20" t="inlineStr">
        <is>
          <t>6 · التكاليف المتغيرة (لكل طلب / % من GMV)</t>
        </is>
      </c>
      <c r="B60" s="21" t="n"/>
      <c r="C60" s="21" t="n"/>
      <c r="D60" s="21" t="n"/>
      <c r="E60" s="21" t="n"/>
      <c r="F60" s="21" t="n"/>
      <c r="G60" s="21" t="n"/>
      <c r="H60" s="21" t="n"/>
    </row>
    <row r="61">
      <c r="A61" s="25" t="inlineStr">
        <is>
          <t>المدخل</t>
        </is>
      </c>
      <c r="B61" s="25" t="inlineStr">
        <is>
          <t>الوحدة</t>
        </is>
      </c>
      <c r="C61" s="25" t="inlineStr">
        <is>
          <t>2027</t>
        </is>
      </c>
      <c r="D61" s="25" t="inlineStr">
        <is>
          <t>2028</t>
        </is>
      </c>
      <c r="E61" s="25" t="inlineStr">
        <is>
          <t>2029</t>
        </is>
      </c>
      <c r="F61" s="25" t="inlineStr">
        <is>
          <t>2030</t>
        </is>
      </c>
      <c r="G61" s="25" t="inlineStr">
        <is>
          <t>2031</t>
        </is>
      </c>
      <c r="H61" s="25" t="inlineStr">
        <is>
          <t>ملاحظة / المصدر</t>
        </is>
      </c>
    </row>
    <row r="62">
      <c r="A62" s="4" t="inlineStr">
        <is>
          <t>تكلفة المندوب للتوصيلة (أجر ووقود وتليفون وحوافز)</t>
        </is>
      </c>
      <c r="B62" s="22" t="inlineStr">
        <is>
          <t>ج.م/توصيلة</t>
        </is>
      </c>
      <c r="C62" s="34" t="n">
        <v>27</v>
      </c>
      <c r="D62" s="34" t="n">
        <v>29</v>
      </c>
      <c r="E62" s="34" t="n">
        <v>31</v>
      </c>
      <c r="F62" s="34" t="n">
        <v>33</v>
      </c>
      <c r="G62" s="34" t="n">
        <v>35</v>
      </c>
      <c r="H62" s="24" t="inlineStr">
        <is>
          <t>أجر بالتوصيلة؛ التجميع في رحلات يعادل التضخم.</t>
        </is>
      </c>
    </row>
    <row r="63">
      <c r="A63" s="4" t="inlineStr">
        <is>
          <t>التوصيلات لكل طلب عميل</t>
        </is>
      </c>
      <c r="B63" s="22" t="inlineStr">
        <is>
          <t>×</t>
        </is>
      </c>
      <c r="C63" s="37" t="n">
        <v>1.06</v>
      </c>
      <c r="D63" s="37" t="n">
        <v>1.05</v>
      </c>
      <c r="E63" s="37" t="n">
        <v>1.04</v>
      </c>
      <c r="F63" s="37" t="n">
        <v>1.04</v>
      </c>
      <c r="G63" s="37" t="n">
        <v>1.03</v>
      </c>
      <c r="H63" s="24" t="inlineStr">
        <is>
          <t>التسليم المجزّأ لما المكونات ما ينفعش تتجمع.</t>
        </is>
      </c>
    </row>
    <row r="64">
      <c r="A64" s="4" t="inlineStr">
        <is>
          <t>عمالة التجميع والتغليف لكل طلب هب</t>
        </is>
      </c>
      <c r="B64" s="22" t="inlineStr">
        <is>
          <t>ج.م/طلب</t>
        </is>
      </c>
      <c r="C64" s="38" t="n">
        <v>4</v>
      </c>
      <c r="D64" s="38" t="n">
        <v>4.3</v>
      </c>
      <c r="E64" s="38" t="n">
        <v>4.6</v>
      </c>
      <c r="F64" s="38" t="n">
        <v>4.9</v>
      </c>
      <c r="G64" s="38" t="n">
        <v>5.2</v>
      </c>
      <c r="H64" s="24" t="inlineStr">
        <is>
          <t>تُطبّق على حصة الهب من الطلبات.</t>
        </is>
      </c>
    </row>
    <row r="65">
      <c r="A65" s="4" t="inlineStr">
        <is>
          <t>التغليف (شنط بالعلامة وأكياس تبريد)</t>
        </is>
      </c>
      <c r="B65" s="22" t="inlineStr">
        <is>
          <t>ج.م/طلب</t>
        </is>
      </c>
      <c r="C65" s="38" t="n">
        <v>3.5</v>
      </c>
      <c r="D65" s="38" t="n">
        <v>3.8</v>
      </c>
      <c r="E65" s="38" t="n">
        <v>4.1</v>
      </c>
      <c r="F65" s="38" t="n">
        <v>4.4</v>
      </c>
      <c r="G65" s="38" t="n">
        <v>4.7</v>
      </c>
      <c r="H65" s="24" t="inlineStr"/>
    </row>
    <row r="66">
      <c r="A66" s="4" t="inlineStr">
        <is>
          <t>حصة GMV المدفوعة إلكترونياً (بطاقات ومحافظ)</t>
        </is>
      </c>
      <c r="B66" s="22" t="inlineStr">
        <is>
          <t>%</t>
        </is>
      </c>
      <c r="C66" s="28" t="n">
        <v>0.18</v>
      </c>
      <c r="D66" s="28" t="n">
        <v>0.28</v>
      </c>
      <c r="E66" s="28" t="n">
        <v>0.38</v>
      </c>
      <c r="F66" s="28" t="n">
        <v>0.45</v>
      </c>
      <c r="G66" s="28" t="n">
        <v>0.5</v>
      </c>
      <c r="H66" s="24" t="inlineStr">
        <is>
          <t>الكاش عند الاستلام هو الأساس عند الإطلاق.</t>
        </is>
      </c>
    </row>
    <row r="67">
      <c r="A67" s="4" t="inlineStr">
        <is>
          <t>رسوم بوابة الدفع</t>
        </is>
      </c>
      <c r="B67" s="22" t="inlineStr">
        <is>
          <t>% من GMV الإلكتروني</t>
        </is>
      </c>
      <c r="C67" s="28" t="n">
        <v>0.023</v>
      </c>
      <c r="H67" s="24" t="inlineStr">
        <is>
          <t>عمولة بوابة الدفع المعتادة في مصر؛ تتأكد بعرض سعر من Paymob أو Fawry أو Geidea.</t>
        </is>
      </c>
    </row>
    <row r="68">
      <c r="A68" s="4" t="inlineStr">
        <is>
          <t>عروض العملاء الممولة من توّا (بعد أول طلب)</t>
        </is>
      </c>
      <c r="B68" s="22" t="inlineStr">
        <is>
          <t>% من GMV</t>
        </is>
      </c>
      <c r="C68" s="28" t="n">
        <v>0.04</v>
      </c>
      <c r="D68" s="28" t="n">
        <v>0.028</v>
      </c>
      <c r="E68" s="28" t="n">
        <v>0.022</v>
      </c>
      <c r="F68" s="28" t="n">
        <v>0.02</v>
      </c>
      <c r="G68" s="28" t="n">
        <v>0.02</v>
      </c>
      <c r="H68" s="24" t="inlineStr">
        <is>
          <t>خصم أول طلب ضمن CAC.</t>
        </is>
      </c>
    </row>
    <row r="69">
      <c r="A69" s="4" t="inlineStr">
        <is>
          <t>الهالك وانتهاء الصلاحية والتلف</t>
        </is>
      </c>
      <c r="B69" s="22" t="inlineStr">
        <is>
          <t>% من GMV الهب</t>
        </is>
      </c>
      <c r="C69" s="28" t="n">
        <v>0.018</v>
      </c>
      <c r="D69" s="28" t="n">
        <v>0.015</v>
      </c>
      <c r="E69" s="28" t="n">
        <v>0.013</v>
      </c>
      <c r="F69" s="28" t="n">
        <v>0.012</v>
      </c>
      <c r="G69" s="28" t="n">
        <v>0.012</v>
      </c>
      <c r="H69" s="24" t="inlineStr"/>
    </row>
    <row r="70">
      <c r="A70" s="4" t="inlineStr">
        <is>
          <t>الاستردادات والتعويضات</t>
        </is>
      </c>
      <c r="B70" s="22" t="inlineStr">
        <is>
          <t>% من GMV</t>
        </is>
      </c>
      <c r="C70" s="28" t="n">
        <v>0.006</v>
      </c>
      <c r="D70" s="28" t="n">
        <v>0.005</v>
      </c>
      <c r="E70" s="28" t="n">
        <v>0.004</v>
      </c>
      <c r="F70" s="28" t="n">
        <v>0.004</v>
      </c>
      <c r="G70" s="28" t="n">
        <v>0.004</v>
      </c>
      <c r="H70" s="24" t="inlineStr"/>
    </row>
    <row r="71">
      <c r="A71" s="4" t="inlineStr">
        <is>
          <t>الدعم والرسائل وواتساب لكل طلب</t>
        </is>
      </c>
      <c r="B71" s="22" t="inlineStr">
        <is>
          <t>ج.م/طلب</t>
        </is>
      </c>
      <c r="C71" s="38" t="n">
        <v>1.6</v>
      </c>
      <c r="D71" s="38" t="n">
        <v>1.8</v>
      </c>
      <c r="E71" s="38" t="n">
        <v>2</v>
      </c>
      <c r="F71" s="38" t="n">
        <v>2.2</v>
      </c>
      <c r="G71" s="38" t="n">
        <v>2.4</v>
      </c>
      <c r="H71" s="24" t="inlineStr"/>
    </row>
    <row r="72"/>
    <row r="73">
      <c r="A73" s="20" t="inlineStr">
        <is>
          <t>7 · التكاليف التشغيلية الثابتة (شهرياً)</t>
        </is>
      </c>
      <c r="B73" s="21" t="n"/>
      <c r="C73" s="21" t="n"/>
      <c r="D73" s="21" t="n"/>
      <c r="E73" s="21" t="n"/>
      <c r="F73" s="21" t="n"/>
      <c r="G73" s="21" t="n"/>
      <c r="H73" s="21" t="n"/>
    </row>
    <row r="74">
      <c r="A74" s="25" t="inlineStr">
        <is>
          <t>المدخل</t>
        </is>
      </c>
      <c r="B74" s="25" t="inlineStr">
        <is>
          <t>الوحدة</t>
        </is>
      </c>
      <c r="C74" s="25" t="inlineStr">
        <is>
          <t>2027</t>
        </is>
      </c>
      <c r="D74" s="25" t="inlineStr">
        <is>
          <t>2028</t>
        </is>
      </c>
      <c r="E74" s="25" t="inlineStr">
        <is>
          <t>2029</t>
        </is>
      </c>
      <c r="F74" s="25" t="inlineStr">
        <is>
          <t>2030</t>
        </is>
      </c>
      <c r="G74" s="25" t="inlineStr">
        <is>
          <t>2031</t>
        </is>
      </c>
      <c r="H74" s="25" t="inlineStr">
        <is>
          <t>ملاحظة / المصدر</t>
        </is>
      </c>
    </row>
    <row r="75">
      <c r="A75" s="4" t="inlineStr">
        <is>
          <t>إيجار الهب (لكل هب)</t>
        </is>
      </c>
      <c r="B75" s="22" t="inlineStr">
        <is>
          <t>ج.م/شهر</t>
        </is>
      </c>
      <c r="C75" s="31" t="n">
        <v>30000</v>
      </c>
      <c r="D75" s="31" t="n">
        <v>34000</v>
      </c>
      <c r="E75" s="31" t="n">
        <v>38000</v>
      </c>
      <c r="F75" s="31" t="n">
        <v>42000</v>
      </c>
      <c r="G75" s="31" t="n">
        <v>46000</v>
      </c>
      <c r="H75" s="24" t="inlineStr">
        <is>
          <t>وحدة دور أرضي حوالي 150–250 م² في أبو المطامير؛ خد 3 عروض أسعار.</t>
        </is>
      </c>
    </row>
    <row r="76">
      <c r="A76" s="4" t="inlineStr">
        <is>
          <t>مرافق وكهرباء الهب (لكل هب)</t>
        </is>
      </c>
      <c r="B76" s="22" t="inlineStr">
        <is>
          <t>ج.م/شهر</t>
        </is>
      </c>
      <c r="C76" s="31" t="n">
        <v>12000</v>
      </c>
      <c r="D76" s="31" t="n">
        <v>14000</v>
      </c>
      <c r="E76" s="31" t="n">
        <v>16000</v>
      </c>
      <c r="F76" s="31" t="n">
        <v>18000</v>
      </c>
      <c r="G76" s="31" t="n">
        <v>20000</v>
      </c>
      <c r="H76" s="24" t="inlineStr">
        <is>
          <t>الثلاجات والفريزرات شغالة 24 ساعة.</t>
        </is>
      </c>
    </row>
    <row r="77">
      <c r="A77" s="4" t="inlineStr">
        <is>
          <t>الفريق الأساسي للهب (لكل هب): مدير واستلام وأمن</t>
        </is>
      </c>
      <c r="B77" s="22" t="inlineStr">
        <is>
          <t>ج.م/شهر</t>
        </is>
      </c>
      <c r="C77" s="31" t="n">
        <v>45000</v>
      </c>
      <c r="D77" s="31" t="n">
        <v>51000</v>
      </c>
      <c r="E77" s="31" t="n">
        <v>57000</v>
      </c>
      <c r="F77" s="31" t="n">
        <v>63000</v>
      </c>
      <c r="G77" s="31" t="n">
        <v>69000</v>
      </c>
      <c r="H77" s="24" t="inlineStr">
        <is>
          <t>المجمّعون تكلفة متغيرة (تجميع وتغليف).</t>
        </is>
      </c>
    </row>
    <row r="78">
      <c r="A78" s="4" t="inlineStr">
        <is>
          <t>الإشراف على المناديب والتوزيع</t>
        </is>
      </c>
      <c r="B78" s="22" t="inlineStr">
        <is>
          <t>ج.م/شهر</t>
        </is>
      </c>
      <c r="C78" s="31" t="n">
        <v>32000</v>
      </c>
      <c r="D78" s="31" t="n">
        <v>48000</v>
      </c>
      <c r="E78" s="31" t="n">
        <v>60000</v>
      </c>
      <c r="F78" s="31" t="n">
        <v>70000</v>
      </c>
      <c r="G78" s="31" t="n">
        <v>80000</v>
      </c>
      <c r="H78" s="24" t="inlineStr"/>
    </row>
    <row r="79">
      <c r="A79" s="4" t="inlineStr">
        <is>
          <t>فريق خدمة العملاء</t>
        </is>
      </c>
      <c r="B79" s="22" t="inlineStr">
        <is>
          <t>ج.م/شهر</t>
        </is>
      </c>
      <c r="C79" s="31" t="n">
        <v>30000</v>
      </c>
      <c r="D79" s="31" t="n">
        <v>45000</v>
      </c>
      <c r="E79" s="31" t="n">
        <v>55000</v>
      </c>
      <c r="F79" s="31" t="n">
        <v>65000</v>
      </c>
      <c r="G79" s="31" t="n">
        <v>75000</v>
      </c>
      <c r="H79" s="24" t="inlineStr"/>
    </row>
    <row r="80">
      <c r="A80" s="4" t="inlineStr">
        <is>
          <t>فريق التقنية / عقد مورّد</t>
        </is>
      </c>
      <c r="B80" s="22" t="inlineStr">
        <is>
          <t>ج.م/شهر</t>
        </is>
      </c>
      <c r="C80" s="31" t="n">
        <v>160000</v>
      </c>
      <c r="D80" s="31" t="n">
        <v>180000</v>
      </c>
      <c r="E80" s="31" t="n">
        <v>200000</v>
      </c>
      <c r="F80" s="31" t="n">
        <v>220000</v>
      </c>
      <c r="G80" s="31" t="n">
        <v>240000</v>
      </c>
      <c r="H80" s="24" t="inlineStr">
        <is>
          <t>2–3 مهندسين + اختبار جودة، أو صيانة من مورّد.</t>
        </is>
      </c>
    </row>
    <row r="81">
      <c r="A81" s="4" t="inlineStr">
        <is>
          <t>السحابة والخرائط وبوابة الرسائل والأدوات</t>
        </is>
      </c>
      <c r="B81" s="22" t="inlineStr">
        <is>
          <t>ج.م/شهر</t>
        </is>
      </c>
      <c r="C81" s="31" t="n">
        <v>20000</v>
      </c>
      <c r="D81" s="31" t="n">
        <v>30000</v>
      </c>
      <c r="E81" s="31" t="n">
        <v>40000</v>
      </c>
      <c r="F81" s="31" t="n">
        <v>45000</v>
      </c>
      <c r="G81" s="31" t="n">
        <v>50000</v>
      </c>
      <c r="H81" s="24" t="inlineStr"/>
    </row>
    <row r="82">
      <c r="A82" s="4" t="inlineStr">
        <is>
          <t>الإدارة والمصروفات العمومية (مدير عام، مالية، مشتريات، تسويق، موارد بشرية)</t>
        </is>
      </c>
      <c r="B82" s="22" t="inlineStr">
        <is>
          <t>ج.م/شهر</t>
        </is>
      </c>
      <c r="C82" s="31" t="n">
        <v>150000</v>
      </c>
      <c r="D82" s="31" t="n">
        <v>190000</v>
      </c>
      <c r="E82" s="31" t="n">
        <v>230000</v>
      </c>
      <c r="F82" s="31" t="n">
        <v>260000</v>
      </c>
      <c r="G82" s="31" t="n">
        <v>290000</v>
      </c>
      <c r="H82" s="24" t="inlineStr"/>
    </row>
    <row r="83">
      <c r="A83" s="4" t="inlineStr">
        <is>
          <t>المكتب والقانوني والمحاسبة والتأمين</t>
        </is>
      </c>
      <c r="B83" s="22" t="inlineStr">
        <is>
          <t>ج.م/شهر</t>
        </is>
      </c>
      <c r="C83" s="31" t="n">
        <v>25000</v>
      </c>
      <c r="D83" s="31" t="n">
        <v>30000</v>
      </c>
      <c r="E83" s="31" t="n">
        <v>35000</v>
      </c>
      <c r="F83" s="31" t="n">
        <v>40000</v>
      </c>
      <c r="G83" s="31" t="n">
        <v>45000</v>
      </c>
      <c r="H83" s="24" t="inlineStr"/>
    </row>
    <row r="84">
      <c r="A84" s="4" t="inlineStr">
        <is>
          <t>تسويق العلامة والمجتمع (غير الاستحواذ)</t>
        </is>
      </c>
      <c r="B84" s="22" t="inlineStr">
        <is>
          <t>ج.م/شهر</t>
        </is>
      </c>
      <c r="C84" s="31" t="n">
        <v>25000</v>
      </c>
      <c r="D84" s="31" t="n">
        <v>35000</v>
      </c>
      <c r="E84" s="31" t="n">
        <v>45000</v>
      </c>
      <c r="F84" s="31" t="n">
        <v>50000</v>
      </c>
      <c r="G84" s="31" t="n">
        <v>55000</v>
      </c>
      <c r="H84" s="24" t="inlineStr">
        <is>
          <t>محتوى ورعايات وفعاليات قرى.</t>
        </is>
      </c>
    </row>
    <row r="85">
      <c r="A85" s="25" t="inlineStr">
        <is>
          <t>المدخل</t>
        </is>
      </c>
      <c r="B85" s="25" t="inlineStr">
        <is>
          <t>الوحدة</t>
        </is>
      </c>
      <c r="C85" s="25" t="inlineStr">
        <is>
          <t>القيمة</t>
        </is>
      </c>
      <c r="D85" s="25" t="inlineStr"/>
      <c r="E85" s="25" t="inlineStr"/>
      <c r="F85" s="25" t="inlineStr"/>
      <c r="G85" s="25" t="inlineStr"/>
      <c r="H85" s="25" t="inlineStr">
        <is>
          <t>ملاحظة / المصدر</t>
        </is>
      </c>
    </row>
    <row r="86">
      <c r="A86" s="4" t="inlineStr">
        <is>
          <t>تكلفة التشغيل قبل الإطلاق (أكتوبر–ديسمبر 2026)</t>
        </is>
      </c>
      <c r="B86" s="22" t="inlineStr">
        <is>
          <t>ج.م/شهر</t>
        </is>
      </c>
      <c r="C86" s="31" t="n">
        <v>240000</v>
      </c>
      <c r="H86" s="24" t="inlineStr">
        <is>
          <t>تعيين وتدريب وضم موردين وقانوني وعدة إطلاق.</t>
        </is>
      </c>
    </row>
    <row r="87"/>
    <row r="88">
      <c r="A88" s="20" t="inlineStr">
        <is>
          <t>8 · الإنفاق الرأسمالي والإهلاك</t>
        </is>
      </c>
      <c r="B88" s="21" t="n"/>
      <c r="C88" s="21" t="n"/>
      <c r="D88" s="21" t="n"/>
      <c r="E88" s="21" t="n"/>
      <c r="F88" s="21" t="n"/>
      <c r="G88" s="21" t="n"/>
      <c r="H88" s="21" t="n"/>
    </row>
    <row r="89">
      <c r="A89" s="25" t="inlineStr">
        <is>
          <t>المدخل</t>
        </is>
      </c>
      <c r="B89" s="25" t="inlineStr">
        <is>
          <t>الوحدة</t>
        </is>
      </c>
      <c r="C89" s="25" t="inlineStr">
        <is>
          <t>القيمة</t>
        </is>
      </c>
      <c r="D89" s="25" t="inlineStr"/>
      <c r="E89" s="25" t="inlineStr"/>
      <c r="F89" s="25" t="inlineStr"/>
      <c r="G89" s="25" t="inlineStr"/>
      <c r="H89" s="25" t="inlineStr">
        <is>
          <t>ملاحظة / المصدر</t>
        </is>
      </c>
    </row>
    <row r="90">
      <c r="A90" s="4" t="inlineStr">
        <is>
          <t>بناء المنصة (تطبيق العميل والإدارة والمجمّع والمندوب)</t>
        </is>
      </c>
      <c r="B90" s="22" t="inlineStr">
        <is>
          <t>ج.م</t>
        </is>
      </c>
      <c r="C90" s="34" t="n">
        <v>2400000</v>
      </c>
      <c r="H90" s="24" t="inlineStr">
        <is>
          <t>يُدفع بالتساوي أكتوبر–ديسمبر 2026. النموذج الأولي ووثيقة المتطلبات جاهزين.</t>
        </is>
      </c>
    </row>
    <row r="91">
      <c r="A91" s="4" t="inlineStr">
        <is>
          <t>تجهيز الهب 1 (أرفف وثلاجات وفريزرات ومولد وماسحات)</t>
        </is>
      </c>
      <c r="B91" s="22" t="inlineStr">
        <is>
          <t>ج.م</t>
        </is>
      </c>
      <c r="C91" s="31" t="n">
        <v>950000</v>
      </c>
      <c r="H91" s="24" t="inlineStr">
        <is>
          <t>يُدفع ديسمبر 2026.</t>
        </is>
      </c>
    </row>
    <row r="92">
      <c r="A92" s="4" t="inlineStr">
        <is>
          <t>تجهيز هب القرية الصغير (الهب 2 والهب 3، لكل واحد)</t>
        </is>
      </c>
      <c r="B92" s="22" t="inlineStr">
        <is>
          <t>ج.م</t>
        </is>
      </c>
      <c r="C92" s="31" t="n">
        <v>650000</v>
      </c>
      <c r="H92" s="24" t="inlineStr">
        <is>
          <t>يُدفع في الشهر السابق للافتتاح.</t>
        </is>
      </c>
    </row>
    <row r="93">
      <c r="A93" s="4" t="inlineStr">
        <is>
          <t>عدة المناديب (شنط حرارية وخوذ وتليفونات) عند الإطلاق</t>
        </is>
      </c>
      <c r="B93" s="22" t="inlineStr">
        <is>
          <t>ج.م</t>
        </is>
      </c>
      <c r="C93" s="31" t="n">
        <v>150000</v>
      </c>
      <c r="H93" s="24" t="inlineStr">
        <is>
          <t>المناديب بيستخدموا موتوسيكلاتهم (أجر بالتوصيلة).</t>
        </is>
      </c>
    </row>
    <row r="94">
      <c r="A94" s="4" t="inlineStr">
        <is>
          <t>العمر الإنتاجي — التقنية</t>
        </is>
      </c>
      <c r="B94" s="22" t="inlineStr">
        <is>
          <t>شهر</t>
        </is>
      </c>
      <c r="C94" s="33" t="n">
        <v>36</v>
      </c>
      <c r="H94" s="24" t="inlineStr"/>
    </row>
    <row r="95">
      <c r="A95" s="4" t="inlineStr">
        <is>
          <t>العمر الإنتاجي — معدات الهب</t>
        </is>
      </c>
      <c r="B95" s="22" t="inlineStr">
        <is>
          <t>شهر</t>
        </is>
      </c>
      <c r="C95" s="33" t="n">
        <v>60</v>
      </c>
      <c r="H95" s="24" t="inlineStr"/>
    </row>
    <row r="96"/>
    <row r="97">
      <c r="A97" s="20" t="inlineStr">
        <is>
          <t>9 · رأس المال العامل والضريبة والتمويل</t>
        </is>
      </c>
      <c r="B97" s="21" t="n"/>
      <c r="C97" s="21" t="n"/>
      <c r="D97" s="21" t="n"/>
      <c r="E97" s="21" t="n"/>
      <c r="F97" s="21" t="n"/>
      <c r="G97" s="21" t="n"/>
      <c r="H97" s="21" t="n"/>
    </row>
    <row r="98">
      <c r="A98" s="25" t="inlineStr">
        <is>
          <t>المدخل</t>
        </is>
      </c>
      <c r="B98" s="25" t="inlineStr">
        <is>
          <t>الوحدة</t>
        </is>
      </c>
      <c r="C98" s="25" t="inlineStr">
        <is>
          <t>2027</t>
        </is>
      </c>
      <c r="D98" s="25" t="inlineStr">
        <is>
          <t>2028</t>
        </is>
      </c>
      <c r="E98" s="25" t="inlineStr">
        <is>
          <t>2029</t>
        </is>
      </c>
      <c r="F98" s="25" t="inlineStr">
        <is>
          <t>2030</t>
        </is>
      </c>
      <c r="G98" s="25" t="inlineStr">
        <is>
          <t>2031</t>
        </is>
      </c>
      <c r="H98" s="25" t="inlineStr">
        <is>
          <t>ملاحظة / المصدر</t>
        </is>
      </c>
    </row>
    <row r="99">
      <c r="A99" s="4" t="inlineStr">
        <is>
          <t>الحد الأدنى للمخزون لكل هب (اتساع الأصناف)</t>
        </is>
      </c>
      <c r="B99" s="22" t="inlineStr">
        <is>
          <t>ج.م</t>
        </is>
      </c>
      <c r="C99" s="31" t="n">
        <v>900000</v>
      </c>
      <c r="D99" s="31" t="n">
        <v>1050000</v>
      </c>
      <c r="E99" s="31" t="n">
        <v>1200000</v>
      </c>
      <c r="F99" s="31" t="n">
        <v>1350000</v>
      </c>
      <c r="G99" s="31" t="n">
        <v>1500000</v>
      </c>
      <c r="H99" s="24" t="inlineStr">
        <is>
          <t>حوالي 1,500–3,000 صنف عند الإطلاق.</t>
        </is>
      </c>
    </row>
    <row r="100">
      <c r="A100" s="25" t="inlineStr">
        <is>
          <t>المدخل</t>
        </is>
      </c>
      <c r="B100" s="25" t="inlineStr">
        <is>
          <t>الوحدة</t>
        </is>
      </c>
      <c r="C100" s="25" t="inlineStr">
        <is>
          <t>القيمة</t>
        </is>
      </c>
      <c r="D100" s="25" t="inlineStr"/>
      <c r="E100" s="25" t="inlineStr"/>
      <c r="F100" s="25" t="inlineStr"/>
      <c r="G100" s="25" t="inlineStr"/>
      <c r="H100" s="25" t="inlineStr">
        <is>
          <t>ملاحظة / المصدر</t>
        </is>
      </c>
    </row>
    <row r="101">
      <c r="A101" s="4" t="inlineStr">
        <is>
          <t>أيام المخزون (من تكلفة بضاعة الهب)</t>
        </is>
      </c>
      <c r="B101" s="22" t="inlineStr">
        <is>
          <t>يوم</t>
        </is>
      </c>
      <c r="C101" s="33" t="n">
        <v>14</v>
      </c>
      <c r="H101" s="24" t="inlineStr"/>
    </row>
    <row r="102">
      <c r="A102" s="4" t="inlineStr">
        <is>
          <t>أيام ائتمان الموردين</t>
        </is>
      </c>
      <c r="B102" s="22" t="inlineStr">
        <is>
          <t>يوم</t>
        </is>
      </c>
      <c r="C102" s="33" t="n">
        <v>21</v>
      </c>
      <c r="H102" s="24" t="inlineStr">
        <is>
          <t>الموزعون المحليون عادة بيدّوا 14–30 يوم.</t>
        </is>
      </c>
    </row>
    <row r="103">
      <c r="A103" s="4" t="inlineStr">
        <is>
          <t>فترة تأخير تسوية التجار (السوق والأكل)</t>
        </is>
      </c>
      <c r="B103" s="22" t="inlineStr">
        <is>
          <t>يوم</t>
        </is>
      </c>
      <c r="C103" s="33" t="n">
        <v>7</v>
      </c>
      <c r="H103" s="24" t="inlineStr">
        <is>
          <t>تسوية أسبوعية: سيولة لصالح توّا.</t>
        </is>
      </c>
    </row>
    <row r="104">
      <c r="A104" s="4" t="inlineStr">
        <is>
          <t>سعر ضريبة دخل الشركات</t>
        </is>
      </c>
      <c r="B104" s="22" t="inlineStr">
        <is>
          <t>%</t>
        </is>
      </c>
      <c r="C104" s="28" t="n">
        <v>0.225</v>
      </c>
      <c r="H104" s="24" t="inlineStr">
        <is>
          <t>قانون ضريبة الدخل المصري 91 لسنة 2005، السعر القياسي 22.5%. ترحيل الخسائر.</t>
        </is>
      </c>
    </row>
    <row r="105">
      <c r="A105" s="4" t="inlineStr">
        <is>
          <t>جولة البذرة (تُستلم أكتوبر 2026)</t>
        </is>
      </c>
      <c r="B105" s="22" t="inlineStr">
        <is>
          <t>ج.م</t>
        </is>
      </c>
      <c r="C105" s="34" t="n">
        <v>20000000</v>
      </c>
      <c r="H105" s="24" t="inlineStr">
        <is>
          <t>تغطي ما قبل الإطلاق وإطلاق أبو المطامير والقرى حتى جولة النمو.</t>
        </is>
      </c>
    </row>
    <row r="106">
      <c r="A106" s="4" t="inlineStr">
        <is>
          <t>قيمة جولة النمو (الجولة A)</t>
        </is>
      </c>
      <c r="B106" s="22" t="inlineStr">
        <is>
          <t>ج.م</t>
        </is>
      </c>
      <c r="C106" s="34" t="n">
        <v>22000000</v>
      </c>
      <c r="H106" s="24" t="inlineStr">
        <is>
          <t>تموّل التوسع متعدد المراكز؛ تُجمع بعد إثبات اقتصاديات وحدة أبو المطامير.</t>
        </is>
      </c>
    </row>
    <row r="107">
      <c r="A107" s="4" t="inlineStr">
        <is>
          <t>جولة النمو — الشهر التشغيلي للاستلام</t>
        </is>
      </c>
      <c r="B107" s="22" t="inlineStr">
        <is>
          <t>#</t>
        </is>
      </c>
      <c r="C107" s="33" t="n">
        <v>18</v>
      </c>
      <c r="H107" s="24" t="inlineStr">
        <is>
          <t>يونيو 2028، قبل أول مركز توسع بأربعة شهور.</t>
        </is>
      </c>
    </row>
    <row r="108">
      <c r="A108" s="4" t="inlineStr">
        <is>
          <t>سعر الصرف لمعادلات الدولار</t>
        </is>
      </c>
      <c r="B108" s="22" t="inlineStr">
        <is>
          <t>جنيه لكل دولار</t>
        </is>
      </c>
      <c r="C108" s="32" t="n">
        <v>50</v>
      </c>
      <c r="H108" s="24" t="inlineStr">
        <is>
          <t>للعرض فقط. افتراض — حدّثه بسعر البنك المركزي الحالي.</t>
        </is>
      </c>
    </row>
    <row r="109"/>
    <row r="110">
      <c r="A110" s="20" t="inlineStr">
        <is>
          <t>10 · التوسع لمراكز البحيرة الأخرى (دليل هب في صندوق)</t>
        </is>
      </c>
      <c r="B110" s="21" t="n"/>
      <c r="C110" s="21" t="n"/>
      <c r="D110" s="21" t="n"/>
      <c r="E110" s="21" t="n"/>
      <c r="F110" s="21" t="n"/>
      <c r="G110" s="21" t="n"/>
      <c r="H110" s="21" t="n"/>
    </row>
    <row r="111">
      <c r="A111" s="25" t="inlineStr">
        <is>
          <t>المدخل</t>
        </is>
      </c>
      <c r="B111" s="25" t="inlineStr">
        <is>
          <t>الوحدة</t>
        </is>
      </c>
      <c r="C111" s="25" t="inlineStr">
        <is>
          <t>القيمة</t>
        </is>
      </c>
      <c r="D111" s="25" t="inlineStr"/>
      <c r="E111" s="25" t="inlineStr"/>
      <c r="F111" s="25" t="inlineStr"/>
      <c r="G111" s="25" t="inlineStr"/>
      <c r="H111" s="25" t="inlineStr">
        <is>
          <t>ملاحظة / المصدر</t>
        </is>
      </c>
    </row>
    <row r="112">
      <c r="A112" s="4" t="inlineStr">
        <is>
          <t>مفتاح التوسع (1 = مفعّل، 0 = أبو المطامير فقط)</t>
        </is>
      </c>
      <c r="B112" s="22" t="inlineStr">
        <is>
          <t>0/1</t>
        </is>
      </c>
      <c r="C112" s="23" t="n">
        <v>1</v>
      </c>
      <c r="H112" s="24" t="inlineStr">
        <is>
          <t>كل مركز جديد بيكرر منحنى أبو المطامير (نفس منحنى العمر × معامل الحجم) ويشارك التقنية والإدارة المركزية.</t>
        </is>
      </c>
    </row>
    <row r="113">
      <c r="A113" s="4" t="inlineStr">
        <is>
          <t>تكلفة ما قبل الإطلاق لكل مركز جديد (مرة واحدة، قبل الإطلاق بشهر)</t>
        </is>
      </c>
      <c r="B113" s="22" t="inlineStr">
        <is>
          <t>ج.م</t>
        </is>
      </c>
      <c r="C113" s="31" t="n">
        <v>350000</v>
      </c>
      <c r="H113" s="24" t="inlineStr">
        <is>
          <t>تعيين محلي وضم موردين وتعيين مناديب وعدة إطلاق.</t>
        </is>
      </c>
    </row>
    <row r="114">
      <c r="A114" s="25" t="inlineStr">
        <is>
          <t>المدخل</t>
        </is>
      </c>
      <c r="B114" s="25" t="inlineStr">
        <is>
          <t>الوحدة</t>
        </is>
      </c>
      <c r="C114" s="25" t="inlineStr">
        <is>
          <t>2027</t>
        </is>
      </c>
      <c r="D114" s="25" t="inlineStr">
        <is>
          <t>2028</t>
        </is>
      </c>
      <c r="E114" s="25" t="inlineStr">
        <is>
          <t>2029</t>
        </is>
      </c>
      <c r="F114" s="25" t="inlineStr">
        <is>
          <t>2030</t>
        </is>
      </c>
      <c r="G114" s="25" t="inlineStr">
        <is>
          <t>2031</t>
        </is>
      </c>
      <c r="H114" s="25" t="inlineStr">
        <is>
          <t>ملاحظة / المصدر</t>
        </is>
      </c>
    </row>
    <row r="115">
      <c r="A115" s="4" t="inlineStr">
        <is>
          <t>فريق المركز المحلي لكل مركز عامل (قائد وعمليات ودعم)</t>
        </is>
      </c>
      <c r="B115" s="22" t="inlineStr">
        <is>
          <t>ج.م/شهر</t>
        </is>
      </c>
      <c r="C115" s="31" t="n">
        <v>45000</v>
      </c>
      <c r="D115" s="31" t="n">
        <v>50000</v>
      </c>
      <c r="E115" s="31" t="n">
        <v>55000</v>
      </c>
      <c r="F115" s="31" t="n">
        <v>60000</v>
      </c>
      <c r="G115" s="31" t="n">
        <v>65000</v>
      </c>
      <c r="H115" s="24" t="inlineStr">
        <is>
          <t>إيجار الهب والمرافق والفريق تُحسب حسب عدد الهبات العاملة.</t>
        </is>
      </c>
    </row>
    <row r="116">
      <c r="A116" s="25" t="inlineStr">
        <is>
          <t>المركز (استرشادي — يتأكد ببيانات الطلب)</t>
        </is>
      </c>
      <c r="B116" s="25" t="inlineStr"/>
      <c r="C116" s="25" t="inlineStr">
        <is>
          <t>شهر الإطلاق التشغيلي</t>
        </is>
      </c>
      <c r="D116" s="25" t="inlineStr">
        <is>
          <t>الحجم مقابل أبو المطامير</t>
        </is>
      </c>
      <c r="E116" s="25" t="inlineStr"/>
      <c r="F116" s="25" t="inlineStr"/>
      <c r="G116" s="25" t="inlineStr"/>
      <c r="H116" s="25" t="inlineStr">
        <is>
          <t>ملاحظة</t>
        </is>
      </c>
    </row>
    <row r="117">
      <c r="A117" s="4" t="inlineStr">
        <is>
          <t>حوش عيسى</t>
        </is>
      </c>
      <c r="C117" s="33" t="n">
        <v>22</v>
      </c>
      <c r="D117" s="26" t="n">
        <v>0.8</v>
      </c>
      <c r="H117" s="22" t="inlineStr">
        <is>
          <t>أكتوبر 2028 · مركز مجاور وخطوط إمداد مشتركة</t>
        </is>
      </c>
    </row>
    <row r="118">
      <c r="A118" s="4" t="inlineStr">
        <is>
          <t>أبو حمص</t>
        </is>
      </c>
      <c r="C118" s="33" t="n">
        <v>28</v>
      </c>
      <c r="D118" s="26" t="n">
        <v>1</v>
      </c>
      <c r="H118" s="22" t="inlineStr">
        <is>
          <t>أبريل 2029</t>
        </is>
      </c>
    </row>
    <row r="119">
      <c r="A119" s="4" t="inlineStr">
        <is>
          <t>الدلنجات</t>
        </is>
      </c>
      <c r="C119" s="33" t="n">
        <v>34</v>
      </c>
      <c r="D119" s="26" t="n">
        <v>0.9</v>
      </c>
      <c r="H119" s="22" t="inlineStr">
        <is>
          <t>أكتوبر 2029</t>
        </is>
      </c>
    </row>
    <row r="120">
      <c r="A120" s="4" t="inlineStr">
        <is>
          <t>كوم حمادة</t>
        </is>
      </c>
      <c r="C120" s="33" t="n">
        <v>40</v>
      </c>
      <c r="D120" s="26" t="n">
        <v>0.9</v>
      </c>
      <c r="H120" s="22" t="inlineStr">
        <is>
          <t>أبريل 2030</t>
        </is>
      </c>
    </row>
    <row r="121">
      <c r="A121" s="4" t="inlineStr">
        <is>
          <t>بدر</t>
        </is>
      </c>
      <c r="C121" s="33" t="n">
        <v>46</v>
      </c>
      <c r="D121" s="26" t="n">
        <v>0.7</v>
      </c>
      <c r="H121" s="22" t="inlineStr">
        <is>
          <t>أكتوبر 2030</t>
        </is>
      </c>
    </row>
    <row r="122">
      <c r="A122" s="4" t="inlineStr">
        <is>
          <t>(خانة احتياطية)</t>
        </is>
      </c>
      <c r="C122" s="33" t="n">
        <v>60</v>
      </c>
      <c r="D122" s="26" t="n">
        <v>0</v>
      </c>
      <c r="H122" s="22" t="inlineStr">
        <is>
          <t>حدد حجم &gt; 0 لإضافة مركز</t>
        </is>
      </c>
    </row>
  </sheetData>
  <dataValidations count="1">
    <dataValidation sqref="C6" showDropDown="0" showInputMessage="0" showErrorMessage="1" allowBlank="0" error="Enter 1, 2 or 3" type="whole" operator="between">
      <formula1>1</formula1>
      <formula2>3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M141"/>
  <sheetViews>
    <sheetView showGridLines="0" rightToLeft="1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  <col width="11.5" customWidth="1" min="19" max="19"/>
    <col width="11.5" customWidth="1" min="20" max="20"/>
    <col width="11.5" customWidth="1" min="21" max="21"/>
    <col width="11.5" customWidth="1" min="22" max="22"/>
    <col width="11.5" customWidth="1" min="23" max="23"/>
    <col width="11.5" customWidth="1" min="24" max="24"/>
    <col width="11.5" customWidth="1" min="25" max="25"/>
    <col width="11.5" customWidth="1" min="26" max="26"/>
    <col width="11.5" customWidth="1" min="27" max="27"/>
    <col width="11.5" customWidth="1" min="28" max="28"/>
    <col width="11.5" customWidth="1" min="29" max="29"/>
    <col width="11.5" customWidth="1" min="30" max="30"/>
    <col width="11.5" customWidth="1" min="31" max="31"/>
    <col width="11.5" customWidth="1" min="32" max="32"/>
    <col width="11.5" customWidth="1" min="33" max="33"/>
    <col width="11.5" customWidth="1" min="34" max="34"/>
    <col width="11.5" customWidth="1" min="35" max="35"/>
    <col width="11.5" customWidth="1" min="36" max="36"/>
    <col width="11.5" customWidth="1" min="37" max="37"/>
    <col width="11.5" customWidth="1" min="38" max="38"/>
    <col width="11.5" customWidth="1" min="39" max="39"/>
    <col width="11.5" customWidth="1" min="40" max="40"/>
    <col width="11.5" customWidth="1" min="41" max="41"/>
    <col width="11.5" customWidth="1" min="42" max="42"/>
    <col width="11.5" customWidth="1" min="43" max="43"/>
    <col width="11.5" customWidth="1" min="44" max="44"/>
    <col width="11.5" customWidth="1" min="45" max="45"/>
    <col width="11.5" customWidth="1" min="46" max="46"/>
    <col width="11.5" customWidth="1" min="47" max="47"/>
    <col width="11.5" customWidth="1" min="48" max="48"/>
    <col width="11.5" customWidth="1" min="49" max="49"/>
    <col width="11.5" customWidth="1" min="50" max="50"/>
    <col width="11.5" customWidth="1" min="51" max="51"/>
    <col width="11.5" customWidth="1" min="52" max="52"/>
    <col width="11.5" customWidth="1" min="53" max="53"/>
    <col width="11.5" customWidth="1" min="54" max="54"/>
    <col width="11.5" customWidth="1" min="55" max="55"/>
    <col width="11.5" customWidth="1" min="56" max="56"/>
    <col width="11.5" customWidth="1" min="57" max="57"/>
    <col width="11.5" customWidth="1" min="58" max="58"/>
    <col width="11.5" customWidth="1" min="59" max="59"/>
    <col width="11.5" customWidth="1" min="60" max="60"/>
    <col width="11.5" customWidth="1" min="61" max="61"/>
    <col width="11.5" customWidth="1" min="62" max="62"/>
    <col width="11.5" customWidth="1" min="63" max="63"/>
    <col width="11.5" customWidth="1" min="64" max="64"/>
    <col width="11.5" customWidth="1" min="65" max="65"/>
  </cols>
  <sheetData>
    <row r="1">
      <c r="A1" s="39" t="inlineStr">
        <is>
          <t>توّا — النموذج الشهري أكتوبر 2026 – ديسمبر 2031 (معادلات فقط؛ عدّل الافتراضات)</t>
        </is>
      </c>
    </row>
    <row r="2"/>
    <row r="3"/>
    <row r="4">
      <c r="A4" s="40" t="inlineStr">
        <is>
          <t>الجدول الزمني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  <c r="M4" s="41" t="n"/>
      <c r="N4" s="41" t="n"/>
      <c r="O4" s="41" t="n"/>
      <c r="P4" s="41" t="n"/>
      <c r="Q4" s="41" t="n"/>
      <c r="R4" s="41" t="n"/>
      <c r="S4" s="41" t="n"/>
      <c r="T4" s="41" t="n"/>
      <c r="U4" s="41" t="n"/>
      <c r="V4" s="41" t="n"/>
      <c r="W4" s="41" t="n"/>
      <c r="X4" s="41" t="n"/>
      <c r="Y4" s="41" t="n"/>
      <c r="Z4" s="41" t="n"/>
      <c r="AA4" s="41" t="n"/>
      <c r="AB4" s="41" t="n"/>
      <c r="AC4" s="41" t="n"/>
      <c r="AD4" s="41" t="n"/>
      <c r="AE4" s="41" t="n"/>
      <c r="AF4" s="41" t="n"/>
      <c r="AG4" s="41" t="n"/>
      <c r="AH4" s="41" t="n"/>
      <c r="AI4" s="41" t="n"/>
      <c r="AJ4" s="41" t="n"/>
      <c r="AK4" s="41" t="n"/>
      <c r="AL4" s="41" t="n"/>
      <c r="AM4" s="41" t="n"/>
      <c r="AN4" s="41" t="n"/>
      <c r="AO4" s="41" t="n"/>
      <c r="AP4" s="41" t="n"/>
      <c r="AQ4" s="41" t="n"/>
      <c r="AR4" s="41" t="n"/>
      <c r="AS4" s="41" t="n"/>
      <c r="AT4" s="41" t="n"/>
      <c r="AU4" s="41" t="n"/>
      <c r="AV4" s="41" t="n"/>
      <c r="AW4" s="41" t="n"/>
      <c r="AX4" s="41" t="n"/>
      <c r="AY4" s="41" t="n"/>
      <c r="AZ4" s="41" t="n"/>
      <c r="BA4" s="41" t="n"/>
      <c r="BB4" s="41" t="n"/>
      <c r="BC4" s="41" t="n"/>
      <c r="BD4" s="41" t="n"/>
      <c r="BE4" s="41" t="n"/>
      <c r="BF4" s="41" t="n"/>
      <c r="BG4" s="41" t="n"/>
      <c r="BH4" s="41" t="n"/>
      <c r="BI4" s="41" t="n"/>
      <c r="BJ4" s="41" t="n"/>
      <c r="BK4" s="41" t="n"/>
      <c r="BL4" s="41" t="n"/>
      <c r="BM4" s="41" t="n"/>
    </row>
    <row r="5">
      <c r="A5" s="4" t="inlineStr">
        <is>
          <t>الشهر</t>
        </is>
      </c>
      <c r="B5" s="22" t="inlineStr"/>
      <c r="C5" s="42">
        <f>'الافتراضات'!$C$15</f>
        <v/>
      </c>
      <c r="D5" s="42">
        <f>DATE(YEAR(C5),MONTH(C5)+1,1)</f>
        <v/>
      </c>
      <c r="E5" s="42">
        <f>DATE(YEAR(D5),MONTH(D5)+1,1)</f>
        <v/>
      </c>
      <c r="F5" s="42">
        <f>DATE(YEAR(E5),MONTH(E5)+1,1)</f>
        <v/>
      </c>
      <c r="G5" s="42">
        <f>DATE(YEAR(F5),MONTH(F5)+1,1)</f>
        <v/>
      </c>
      <c r="H5" s="42">
        <f>DATE(YEAR(G5),MONTH(G5)+1,1)</f>
        <v/>
      </c>
      <c r="I5" s="42">
        <f>DATE(YEAR(H5),MONTH(H5)+1,1)</f>
        <v/>
      </c>
      <c r="J5" s="42">
        <f>DATE(YEAR(I5),MONTH(I5)+1,1)</f>
        <v/>
      </c>
      <c r="K5" s="42">
        <f>DATE(YEAR(J5),MONTH(J5)+1,1)</f>
        <v/>
      </c>
      <c r="L5" s="42">
        <f>DATE(YEAR(K5),MONTH(K5)+1,1)</f>
        <v/>
      </c>
      <c r="M5" s="42">
        <f>DATE(YEAR(L5),MONTH(L5)+1,1)</f>
        <v/>
      </c>
      <c r="N5" s="42">
        <f>DATE(YEAR(M5),MONTH(M5)+1,1)</f>
        <v/>
      </c>
      <c r="O5" s="42">
        <f>DATE(YEAR(N5),MONTH(N5)+1,1)</f>
        <v/>
      </c>
      <c r="P5" s="42">
        <f>DATE(YEAR(O5),MONTH(O5)+1,1)</f>
        <v/>
      </c>
      <c r="Q5" s="42">
        <f>DATE(YEAR(P5),MONTH(P5)+1,1)</f>
        <v/>
      </c>
      <c r="R5" s="42">
        <f>DATE(YEAR(Q5),MONTH(Q5)+1,1)</f>
        <v/>
      </c>
      <c r="S5" s="42">
        <f>DATE(YEAR(R5),MONTH(R5)+1,1)</f>
        <v/>
      </c>
      <c r="T5" s="42">
        <f>DATE(YEAR(S5),MONTH(S5)+1,1)</f>
        <v/>
      </c>
      <c r="U5" s="42">
        <f>DATE(YEAR(T5),MONTH(T5)+1,1)</f>
        <v/>
      </c>
      <c r="V5" s="42">
        <f>DATE(YEAR(U5),MONTH(U5)+1,1)</f>
        <v/>
      </c>
      <c r="W5" s="42">
        <f>DATE(YEAR(V5),MONTH(V5)+1,1)</f>
        <v/>
      </c>
      <c r="X5" s="42">
        <f>DATE(YEAR(W5),MONTH(W5)+1,1)</f>
        <v/>
      </c>
      <c r="Y5" s="42">
        <f>DATE(YEAR(X5),MONTH(X5)+1,1)</f>
        <v/>
      </c>
      <c r="Z5" s="42">
        <f>DATE(YEAR(Y5),MONTH(Y5)+1,1)</f>
        <v/>
      </c>
      <c r="AA5" s="42">
        <f>DATE(YEAR(Z5),MONTH(Z5)+1,1)</f>
        <v/>
      </c>
      <c r="AB5" s="42">
        <f>DATE(YEAR(AA5),MONTH(AA5)+1,1)</f>
        <v/>
      </c>
      <c r="AC5" s="42">
        <f>DATE(YEAR(AB5),MONTH(AB5)+1,1)</f>
        <v/>
      </c>
      <c r="AD5" s="42">
        <f>DATE(YEAR(AC5),MONTH(AC5)+1,1)</f>
        <v/>
      </c>
      <c r="AE5" s="42">
        <f>DATE(YEAR(AD5),MONTH(AD5)+1,1)</f>
        <v/>
      </c>
      <c r="AF5" s="42">
        <f>DATE(YEAR(AE5),MONTH(AE5)+1,1)</f>
        <v/>
      </c>
      <c r="AG5" s="42">
        <f>DATE(YEAR(AF5),MONTH(AF5)+1,1)</f>
        <v/>
      </c>
      <c r="AH5" s="42">
        <f>DATE(YEAR(AG5),MONTH(AG5)+1,1)</f>
        <v/>
      </c>
      <c r="AI5" s="42">
        <f>DATE(YEAR(AH5),MONTH(AH5)+1,1)</f>
        <v/>
      </c>
      <c r="AJ5" s="42">
        <f>DATE(YEAR(AI5),MONTH(AI5)+1,1)</f>
        <v/>
      </c>
      <c r="AK5" s="42">
        <f>DATE(YEAR(AJ5),MONTH(AJ5)+1,1)</f>
        <v/>
      </c>
      <c r="AL5" s="42">
        <f>DATE(YEAR(AK5),MONTH(AK5)+1,1)</f>
        <v/>
      </c>
      <c r="AM5" s="42">
        <f>DATE(YEAR(AL5),MONTH(AL5)+1,1)</f>
        <v/>
      </c>
      <c r="AN5" s="42">
        <f>DATE(YEAR(AM5),MONTH(AM5)+1,1)</f>
        <v/>
      </c>
      <c r="AO5" s="42">
        <f>DATE(YEAR(AN5),MONTH(AN5)+1,1)</f>
        <v/>
      </c>
      <c r="AP5" s="42">
        <f>DATE(YEAR(AO5),MONTH(AO5)+1,1)</f>
        <v/>
      </c>
      <c r="AQ5" s="42">
        <f>DATE(YEAR(AP5),MONTH(AP5)+1,1)</f>
        <v/>
      </c>
      <c r="AR5" s="42">
        <f>DATE(YEAR(AQ5),MONTH(AQ5)+1,1)</f>
        <v/>
      </c>
      <c r="AS5" s="42">
        <f>DATE(YEAR(AR5),MONTH(AR5)+1,1)</f>
        <v/>
      </c>
      <c r="AT5" s="42">
        <f>DATE(YEAR(AS5),MONTH(AS5)+1,1)</f>
        <v/>
      </c>
      <c r="AU5" s="42">
        <f>DATE(YEAR(AT5),MONTH(AT5)+1,1)</f>
        <v/>
      </c>
      <c r="AV5" s="42">
        <f>DATE(YEAR(AU5),MONTH(AU5)+1,1)</f>
        <v/>
      </c>
      <c r="AW5" s="42">
        <f>DATE(YEAR(AV5),MONTH(AV5)+1,1)</f>
        <v/>
      </c>
      <c r="AX5" s="42">
        <f>DATE(YEAR(AW5),MONTH(AW5)+1,1)</f>
        <v/>
      </c>
      <c r="AY5" s="42">
        <f>DATE(YEAR(AX5),MONTH(AX5)+1,1)</f>
        <v/>
      </c>
      <c r="AZ5" s="42">
        <f>DATE(YEAR(AY5),MONTH(AY5)+1,1)</f>
        <v/>
      </c>
      <c r="BA5" s="42">
        <f>DATE(YEAR(AZ5),MONTH(AZ5)+1,1)</f>
        <v/>
      </c>
      <c r="BB5" s="42">
        <f>DATE(YEAR(BA5),MONTH(BA5)+1,1)</f>
        <v/>
      </c>
      <c r="BC5" s="42">
        <f>DATE(YEAR(BB5),MONTH(BB5)+1,1)</f>
        <v/>
      </c>
      <c r="BD5" s="42">
        <f>DATE(YEAR(BC5),MONTH(BC5)+1,1)</f>
        <v/>
      </c>
      <c r="BE5" s="42">
        <f>DATE(YEAR(BD5),MONTH(BD5)+1,1)</f>
        <v/>
      </c>
      <c r="BF5" s="42">
        <f>DATE(YEAR(BE5),MONTH(BE5)+1,1)</f>
        <v/>
      </c>
      <c r="BG5" s="42">
        <f>DATE(YEAR(BF5),MONTH(BF5)+1,1)</f>
        <v/>
      </c>
      <c r="BH5" s="42">
        <f>DATE(YEAR(BG5),MONTH(BG5)+1,1)</f>
        <v/>
      </c>
      <c r="BI5" s="42">
        <f>DATE(YEAR(BH5),MONTH(BH5)+1,1)</f>
        <v/>
      </c>
      <c r="BJ5" s="42">
        <f>DATE(YEAR(BI5),MONTH(BI5)+1,1)</f>
        <v/>
      </c>
      <c r="BK5" s="42">
        <f>DATE(YEAR(BJ5),MONTH(BJ5)+1,1)</f>
        <v/>
      </c>
      <c r="BL5" s="42">
        <f>DATE(YEAR(BK5),MONTH(BK5)+1,1)</f>
        <v/>
      </c>
      <c r="BM5" s="42">
        <f>DATE(YEAR(BL5),MONTH(BL5)+1,1)</f>
        <v/>
      </c>
    </row>
    <row r="6">
      <c r="A6" s="4" t="inlineStr">
        <is>
          <t>السنة الميلادية</t>
        </is>
      </c>
      <c r="B6" s="22" t="inlineStr"/>
      <c r="C6" s="43">
        <f>YEAR(C5)</f>
        <v/>
      </c>
      <c r="D6" s="43">
        <f>YEAR(D5)</f>
        <v/>
      </c>
      <c r="E6" s="43">
        <f>YEAR(E5)</f>
        <v/>
      </c>
      <c r="F6" s="43">
        <f>YEAR(F5)</f>
        <v/>
      </c>
      <c r="G6" s="43">
        <f>YEAR(G5)</f>
        <v/>
      </c>
      <c r="H6" s="43">
        <f>YEAR(H5)</f>
        <v/>
      </c>
      <c r="I6" s="43">
        <f>YEAR(I5)</f>
        <v/>
      </c>
      <c r="J6" s="43">
        <f>YEAR(J5)</f>
        <v/>
      </c>
      <c r="K6" s="43">
        <f>YEAR(K5)</f>
        <v/>
      </c>
      <c r="L6" s="43">
        <f>YEAR(L5)</f>
        <v/>
      </c>
      <c r="M6" s="43">
        <f>YEAR(M5)</f>
        <v/>
      </c>
      <c r="N6" s="43">
        <f>YEAR(N5)</f>
        <v/>
      </c>
      <c r="O6" s="43">
        <f>YEAR(O5)</f>
        <v/>
      </c>
      <c r="P6" s="43">
        <f>YEAR(P5)</f>
        <v/>
      </c>
      <c r="Q6" s="43">
        <f>YEAR(Q5)</f>
        <v/>
      </c>
      <c r="R6" s="43">
        <f>YEAR(R5)</f>
        <v/>
      </c>
      <c r="S6" s="43">
        <f>YEAR(S5)</f>
        <v/>
      </c>
      <c r="T6" s="43">
        <f>YEAR(T5)</f>
        <v/>
      </c>
      <c r="U6" s="43">
        <f>YEAR(U5)</f>
        <v/>
      </c>
      <c r="V6" s="43">
        <f>YEAR(V5)</f>
        <v/>
      </c>
      <c r="W6" s="43">
        <f>YEAR(W5)</f>
        <v/>
      </c>
      <c r="X6" s="43">
        <f>YEAR(X5)</f>
        <v/>
      </c>
      <c r="Y6" s="43">
        <f>YEAR(Y5)</f>
        <v/>
      </c>
      <c r="Z6" s="43">
        <f>YEAR(Z5)</f>
        <v/>
      </c>
      <c r="AA6" s="43">
        <f>YEAR(AA5)</f>
        <v/>
      </c>
      <c r="AB6" s="43">
        <f>YEAR(AB5)</f>
        <v/>
      </c>
      <c r="AC6" s="43">
        <f>YEAR(AC5)</f>
        <v/>
      </c>
      <c r="AD6" s="43">
        <f>YEAR(AD5)</f>
        <v/>
      </c>
      <c r="AE6" s="43">
        <f>YEAR(AE5)</f>
        <v/>
      </c>
      <c r="AF6" s="43">
        <f>YEAR(AF5)</f>
        <v/>
      </c>
      <c r="AG6" s="43">
        <f>YEAR(AG5)</f>
        <v/>
      </c>
      <c r="AH6" s="43">
        <f>YEAR(AH5)</f>
        <v/>
      </c>
      <c r="AI6" s="43">
        <f>YEAR(AI5)</f>
        <v/>
      </c>
      <c r="AJ6" s="43">
        <f>YEAR(AJ5)</f>
        <v/>
      </c>
      <c r="AK6" s="43">
        <f>YEAR(AK5)</f>
        <v/>
      </c>
      <c r="AL6" s="43">
        <f>YEAR(AL5)</f>
        <v/>
      </c>
      <c r="AM6" s="43">
        <f>YEAR(AM5)</f>
        <v/>
      </c>
      <c r="AN6" s="43">
        <f>YEAR(AN5)</f>
        <v/>
      </c>
      <c r="AO6" s="43">
        <f>YEAR(AO5)</f>
        <v/>
      </c>
      <c r="AP6" s="43">
        <f>YEAR(AP5)</f>
        <v/>
      </c>
      <c r="AQ6" s="43">
        <f>YEAR(AQ5)</f>
        <v/>
      </c>
      <c r="AR6" s="43">
        <f>YEAR(AR5)</f>
        <v/>
      </c>
      <c r="AS6" s="43">
        <f>YEAR(AS5)</f>
        <v/>
      </c>
      <c r="AT6" s="43">
        <f>YEAR(AT5)</f>
        <v/>
      </c>
      <c r="AU6" s="43">
        <f>YEAR(AU5)</f>
        <v/>
      </c>
      <c r="AV6" s="43">
        <f>YEAR(AV5)</f>
        <v/>
      </c>
      <c r="AW6" s="43">
        <f>YEAR(AW5)</f>
        <v/>
      </c>
      <c r="AX6" s="43">
        <f>YEAR(AX5)</f>
        <v/>
      </c>
      <c r="AY6" s="43">
        <f>YEAR(AY5)</f>
        <v/>
      </c>
      <c r="AZ6" s="43">
        <f>YEAR(AZ5)</f>
        <v/>
      </c>
      <c r="BA6" s="43">
        <f>YEAR(BA5)</f>
        <v/>
      </c>
      <c r="BB6" s="43">
        <f>YEAR(BB5)</f>
        <v/>
      </c>
      <c r="BC6" s="43">
        <f>YEAR(BC5)</f>
        <v/>
      </c>
      <c r="BD6" s="43">
        <f>YEAR(BD5)</f>
        <v/>
      </c>
      <c r="BE6" s="43">
        <f>YEAR(BE5)</f>
        <v/>
      </c>
      <c r="BF6" s="43">
        <f>YEAR(BF5)</f>
        <v/>
      </c>
      <c r="BG6" s="43">
        <f>YEAR(BG5)</f>
        <v/>
      </c>
      <c r="BH6" s="43">
        <f>YEAR(BH5)</f>
        <v/>
      </c>
      <c r="BI6" s="43">
        <f>YEAR(BI5)</f>
        <v/>
      </c>
      <c r="BJ6" s="43">
        <f>YEAR(BJ5)</f>
        <v/>
      </c>
      <c r="BK6" s="43">
        <f>YEAR(BK5)</f>
        <v/>
      </c>
      <c r="BL6" s="43">
        <f>YEAR(BL5)</f>
        <v/>
      </c>
      <c r="BM6" s="43">
        <f>YEAR(BM5)</f>
        <v/>
      </c>
    </row>
    <row r="7">
      <c r="A7" s="4" t="inlineStr">
        <is>
          <t>الشهر التشغيلي (1 = تجربة يناير 2027)</t>
        </is>
      </c>
      <c r="B7" s="22" t="inlineStr">
        <is>
          <t>#</t>
        </is>
      </c>
      <c r="C7" s="43">
        <f>(C6-2027)*12+MONTH(C5)</f>
        <v/>
      </c>
      <c r="D7" s="43">
        <f>(D6-2027)*12+MONTH(D5)</f>
        <v/>
      </c>
      <c r="E7" s="43">
        <f>(E6-2027)*12+MONTH(E5)</f>
        <v/>
      </c>
      <c r="F7" s="43">
        <f>(F6-2027)*12+MONTH(F5)</f>
        <v/>
      </c>
      <c r="G7" s="43">
        <f>(G6-2027)*12+MONTH(G5)</f>
        <v/>
      </c>
      <c r="H7" s="43">
        <f>(H6-2027)*12+MONTH(H5)</f>
        <v/>
      </c>
      <c r="I7" s="43">
        <f>(I6-2027)*12+MONTH(I5)</f>
        <v/>
      </c>
      <c r="J7" s="43">
        <f>(J6-2027)*12+MONTH(J5)</f>
        <v/>
      </c>
      <c r="K7" s="43">
        <f>(K6-2027)*12+MONTH(K5)</f>
        <v/>
      </c>
      <c r="L7" s="43">
        <f>(L6-2027)*12+MONTH(L5)</f>
        <v/>
      </c>
      <c r="M7" s="43">
        <f>(M6-2027)*12+MONTH(M5)</f>
        <v/>
      </c>
      <c r="N7" s="43">
        <f>(N6-2027)*12+MONTH(N5)</f>
        <v/>
      </c>
      <c r="O7" s="43">
        <f>(O6-2027)*12+MONTH(O5)</f>
        <v/>
      </c>
      <c r="P7" s="43">
        <f>(P6-2027)*12+MONTH(P5)</f>
        <v/>
      </c>
      <c r="Q7" s="43">
        <f>(Q6-2027)*12+MONTH(Q5)</f>
        <v/>
      </c>
      <c r="R7" s="43">
        <f>(R6-2027)*12+MONTH(R5)</f>
        <v/>
      </c>
      <c r="S7" s="43">
        <f>(S6-2027)*12+MONTH(S5)</f>
        <v/>
      </c>
      <c r="T7" s="43">
        <f>(T6-2027)*12+MONTH(T5)</f>
        <v/>
      </c>
      <c r="U7" s="43">
        <f>(U6-2027)*12+MONTH(U5)</f>
        <v/>
      </c>
      <c r="V7" s="43">
        <f>(V6-2027)*12+MONTH(V5)</f>
        <v/>
      </c>
      <c r="W7" s="43">
        <f>(W6-2027)*12+MONTH(W5)</f>
        <v/>
      </c>
      <c r="X7" s="43">
        <f>(X6-2027)*12+MONTH(X5)</f>
        <v/>
      </c>
      <c r="Y7" s="43">
        <f>(Y6-2027)*12+MONTH(Y5)</f>
        <v/>
      </c>
      <c r="Z7" s="43">
        <f>(Z6-2027)*12+MONTH(Z5)</f>
        <v/>
      </c>
      <c r="AA7" s="43">
        <f>(AA6-2027)*12+MONTH(AA5)</f>
        <v/>
      </c>
      <c r="AB7" s="43">
        <f>(AB6-2027)*12+MONTH(AB5)</f>
        <v/>
      </c>
      <c r="AC7" s="43">
        <f>(AC6-2027)*12+MONTH(AC5)</f>
        <v/>
      </c>
      <c r="AD7" s="43">
        <f>(AD6-2027)*12+MONTH(AD5)</f>
        <v/>
      </c>
      <c r="AE7" s="43">
        <f>(AE6-2027)*12+MONTH(AE5)</f>
        <v/>
      </c>
      <c r="AF7" s="43">
        <f>(AF6-2027)*12+MONTH(AF5)</f>
        <v/>
      </c>
      <c r="AG7" s="43">
        <f>(AG6-2027)*12+MONTH(AG5)</f>
        <v/>
      </c>
      <c r="AH7" s="43">
        <f>(AH6-2027)*12+MONTH(AH5)</f>
        <v/>
      </c>
      <c r="AI7" s="43">
        <f>(AI6-2027)*12+MONTH(AI5)</f>
        <v/>
      </c>
      <c r="AJ7" s="43">
        <f>(AJ6-2027)*12+MONTH(AJ5)</f>
        <v/>
      </c>
      <c r="AK7" s="43">
        <f>(AK6-2027)*12+MONTH(AK5)</f>
        <v/>
      </c>
      <c r="AL7" s="43">
        <f>(AL6-2027)*12+MONTH(AL5)</f>
        <v/>
      </c>
      <c r="AM7" s="43">
        <f>(AM6-2027)*12+MONTH(AM5)</f>
        <v/>
      </c>
      <c r="AN7" s="43">
        <f>(AN6-2027)*12+MONTH(AN5)</f>
        <v/>
      </c>
      <c r="AO7" s="43">
        <f>(AO6-2027)*12+MONTH(AO5)</f>
        <v/>
      </c>
      <c r="AP7" s="43">
        <f>(AP6-2027)*12+MONTH(AP5)</f>
        <v/>
      </c>
      <c r="AQ7" s="43">
        <f>(AQ6-2027)*12+MONTH(AQ5)</f>
        <v/>
      </c>
      <c r="AR7" s="43">
        <f>(AR6-2027)*12+MONTH(AR5)</f>
        <v/>
      </c>
      <c r="AS7" s="43">
        <f>(AS6-2027)*12+MONTH(AS5)</f>
        <v/>
      </c>
      <c r="AT7" s="43">
        <f>(AT6-2027)*12+MONTH(AT5)</f>
        <v/>
      </c>
      <c r="AU7" s="43">
        <f>(AU6-2027)*12+MONTH(AU5)</f>
        <v/>
      </c>
      <c r="AV7" s="43">
        <f>(AV6-2027)*12+MONTH(AV5)</f>
        <v/>
      </c>
      <c r="AW7" s="43">
        <f>(AW6-2027)*12+MONTH(AW5)</f>
        <v/>
      </c>
      <c r="AX7" s="43">
        <f>(AX6-2027)*12+MONTH(AX5)</f>
        <v/>
      </c>
      <c r="AY7" s="43">
        <f>(AY6-2027)*12+MONTH(AY5)</f>
        <v/>
      </c>
      <c r="AZ7" s="43">
        <f>(AZ6-2027)*12+MONTH(AZ5)</f>
        <v/>
      </c>
      <c r="BA7" s="43">
        <f>(BA6-2027)*12+MONTH(BA5)</f>
        <v/>
      </c>
      <c r="BB7" s="43">
        <f>(BB6-2027)*12+MONTH(BB5)</f>
        <v/>
      </c>
      <c r="BC7" s="43">
        <f>(BC6-2027)*12+MONTH(BC5)</f>
        <v/>
      </c>
      <c r="BD7" s="43">
        <f>(BD6-2027)*12+MONTH(BD5)</f>
        <v/>
      </c>
      <c r="BE7" s="43">
        <f>(BE6-2027)*12+MONTH(BE5)</f>
        <v/>
      </c>
      <c r="BF7" s="43">
        <f>(BF6-2027)*12+MONTH(BF5)</f>
        <v/>
      </c>
      <c r="BG7" s="43">
        <f>(BG6-2027)*12+MONTH(BG5)</f>
        <v/>
      </c>
      <c r="BH7" s="43">
        <f>(BH6-2027)*12+MONTH(BH5)</f>
        <v/>
      </c>
      <c r="BI7" s="43">
        <f>(BI6-2027)*12+MONTH(BI5)</f>
        <v/>
      </c>
      <c r="BJ7" s="43">
        <f>(BJ6-2027)*12+MONTH(BJ5)</f>
        <v/>
      </c>
      <c r="BK7" s="43">
        <f>(BK6-2027)*12+MONTH(BK5)</f>
        <v/>
      </c>
      <c r="BL7" s="43">
        <f>(BL6-2027)*12+MONTH(BL5)</f>
        <v/>
      </c>
      <c r="BM7" s="43">
        <f>(BM6-2027)*12+MONTH(BM5)</f>
        <v/>
      </c>
    </row>
    <row r="8">
      <c r="A8" s="4" t="inlineStr">
        <is>
          <t>مؤشر التشغيل</t>
        </is>
      </c>
      <c r="B8" s="22" t="inlineStr">
        <is>
          <t>0/1</t>
        </is>
      </c>
      <c r="C8" s="43">
        <f>IF(C7&gt;=1,1,0)</f>
        <v/>
      </c>
      <c r="D8" s="43">
        <f>IF(D7&gt;=1,1,0)</f>
        <v/>
      </c>
      <c r="E8" s="43">
        <f>IF(E7&gt;=1,1,0)</f>
        <v/>
      </c>
      <c r="F8" s="43">
        <f>IF(F7&gt;=1,1,0)</f>
        <v/>
      </c>
      <c r="G8" s="43">
        <f>IF(G7&gt;=1,1,0)</f>
        <v/>
      </c>
      <c r="H8" s="43">
        <f>IF(H7&gt;=1,1,0)</f>
        <v/>
      </c>
      <c r="I8" s="43">
        <f>IF(I7&gt;=1,1,0)</f>
        <v/>
      </c>
      <c r="J8" s="43">
        <f>IF(J7&gt;=1,1,0)</f>
        <v/>
      </c>
      <c r="K8" s="43">
        <f>IF(K7&gt;=1,1,0)</f>
        <v/>
      </c>
      <c r="L8" s="43">
        <f>IF(L7&gt;=1,1,0)</f>
        <v/>
      </c>
      <c r="M8" s="43">
        <f>IF(M7&gt;=1,1,0)</f>
        <v/>
      </c>
      <c r="N8" s="43">
        <f>IF(N7&gt;=1,1,0)</f>
        <v/>
      </c>
      <c r="O8" s="43">
        <f>IF(O7&gt;=1,1,0)</f>
        <v/>
      </c>
      <c r="P8" s="43">
        <f>IF(P7&gt;=1,1,0)</f>
        <v/>
      </c>
      <c r="Q8" s="43">
        <f>IF(Q7&gt;=1,1,0)</f>
        <v/>
      </c>
      <c r="R8" s="43">
        <f>IF(R7&gt;=1,1,0)</f>
        <v/>
      </c>
      <c r="S8" s="43">
        <f>IF(S7&gt;=1,1,0)</f>
        <v/>
      </c>
      <c r="T8" s="43">
        <f>IF(T7&gt;=1,1,0)</f>
        <v/>
      </c>
      <c r="U8" s="43">
        <f>IF(U7&gt;=1,1,0)</f>
        <v/>
      </c>
      <c r="V8" s="43">
        <f>IF(V7&gt;=1,1,0)</f>
        <v/>
      </c>
      <c r="W8" s="43">
        <f>IF(W7&gt;=1,1,0)</f>
        <v/>
      </c>
      <c r="X8" s="43">
        <f>IF(X7&gt;=1,1,0)</f>
        <v/>
      </c>
      <c r="Y8" s="43">
        <f>IF(Y7&gt;=1,1,0)</f>
        <v/>
      </c>
      <c r="Z8" s="43">
        <f>IF(Z7&gt;=1,1,0)</f>
        <v/>
      </c>
      <c r="AA8" s="43">
        <f>IF(AA7&gt;=1,1,0)</f>
        <v/>
      </c>
      <c r="AB8" s="43">
        <f>IF(AB7&gt;=1,1,0)</f>
        <v/>
      </c>
      <c r="AC8" s="43">
        <f>IF(AC7&gt;=1,1,0)</f>
        <v/>
      </c>
      <c r="AD8" s="43">
        <f>IF(AD7&gt;=1,1,0)</f>
        <v/>
      </c>
      <c r="AE8" s="43">
        <f>IF(AE7&gt;=1,1,0)</f>
        <v/>
      </c>
      <c r="AF8" s="43">
        <f>IF(AF7&gt;=1,1,0)</f>
        <v/>
      </c>
      <c r="AG8" s="43">
        <f>IF(AG7&gt;=1,1,0)</f>
        <v/>
      </c>
      <c r="AH8" s="43">
        <f>IF(AH7&gt;=1,1,0)</f>
        <v/>
      </c>
      <c r="AI8" s="43">
        <f>IF(AI7&gt;=1,1,0)</f>
        <v/>
      </c>
      <c r="AJ8" s="43">
        <f>IF(AJ7&gt;=1,1,0)</f>
        <v/>
      </c>
      <c r="AK8" s="43">
        <f>IF(AK7&gt;=1,1,0)</f>
        <v/>
      </c>
      <c r="AL8" s="43">
        <f>IF(AL7&gt;=1,1,0)</f>
        <v/>
      </c>
      <c r="AM8" s="43">
        <f>IF(AM7&gt;=1,1,0)</f>
        <v/>
      </c>
      <c r="AN8" s="43">
        <f>IF(AN7&gt;=1,1,0)</f>
        <v/>
      </c>
      <c r="AO8" s="43">
        <f>IF(AO7&gt;=1,1,0)</f>
        <v/>
      </c>
      <c r="AP8" s="43">
        <f>IF(AP7&gt;=1,1,0)</f>
        <v/>
      </c>
      <c r="AQ8" s="43">
        <f>IF(AQ7&gt;=1,1,0)</f>
        <v/>
      </c>
      <c r="AR8" s="43">
        <f>IF(AR7&gt;=1,1,0)</f>
        <v/>
      </c>
      <c r="AS8" s="43">
        <f>IF(AS7&gt;=1,1,0)</f>
        <v/>
      </c>
      <c r="AT8" s="43">
        <f>IF(AT7&gt;=1,1,0)</f>
        <v/>
      </c>
      <c r="AU8" s="43">
        <f>IF(AU7&gt;=1,1,0)</f>
        <v/>
      </c>
      <c r="AV8" s="43">
        <f>IF(AV7&gt;=1,1,0)</f>
        <v/>
      </c>
      <c r="AW8" s="43">
        <f>IF(AW7&gt;=1,1,0)</f>
        <v/>
      </c>
      <c r="AX8" s="43">
        <f>IF(AX7&gt;=1,1,0)</f>
        <v/>
      </c>
      <c r="AY8" s="43">
        <f>IF(AY7&gt;=1,1,0)</f>
        <v/>
      </c>
      <c r="AZ8" s="43">
        <f>IF(AZ7&gt;=1,1,0)</f>
        <v/>
      </c>
      <c r="BA8" s="43">
        <f>IF(BA7&gt;=1,1,0)</f>
        <v/>
      </c>
      <c r="BB8" s="43">
        <f>IF(BB7&gt;=1,1,0)</f>
        <v/>
      </c>
      <c r="BC8" s="43">
        <f>IF(BC7&gt;=1,1,0)</f>
        <v/>
      </c>
      <c r="BD8" s="43">
        <f>IF(BD7&gt;=1,1,0)</f>
        <v/>
      </c>
      <c r="BE8" s="43">
        <f>IF(BE7&gt;=1,1,0)</f>
        <v/>
      </c>
      <c r="BF8" s="43">
        <f>IF(BF7&gt;=1,1,0)</f>
        <v/>
      </c>
      <c r="BG8" s="43">
        <f>IF(BG7&gt;=1,1,0)</f>
        <v/>
      </c>
      <c r="BH8" s="43">
        <f>IF(BH7&gt;=1,1,0)</f>
        <v/>
      </c>
      <c r="BI8" s="43">
        <f>IF(BI7&gt;=1,1,0)</f>
        <v/>
      </c>
      <c r="BJ8" s="43">
        <f>IF(BJ7&gt;=1,1,0)</f>
        <v/>
      </c>
      <c r="BK8" s="43">
        <f>IF(BK7&gt;=1,1,0)</f>
        <v/>
      </c>
      <c r="BL8" s="43">
        <f>IF(BL7&gt;=1,1,0)</f>
        <v/>
      </c>
      <c r="BM8" s="43">
        <f>IF(BM7&gt;=1,1,0)</f>
        <v/>
      </c>
    </row>
    <row r="9">
      <c r="A9" s="4" t="inlineStr">
        <is>
          <t>سنة الافتراض (1 = 2027)</t>
        </is>
      </c>
      <c r="B9" s="22" t="inlineStr">
        <is>
          <t>#</t>
        </is>
      </c>
      <c r="C9" s="43">
        <f>MAX(1,MIN(5,C6-2026))</f>
        <v/>
      </c>
      <c r="D9" s="43">
        <f>MAX(1,MIN(5,D6-2026))</f>
        <v/>
      </c>
      <c r="E9" s="43">
        <f>MAX(1,MIN(5,E6-2026))</f>
        <v/>
      </c>
      <c r="F9" s="43">
        <f>MAX(1,MIN(5,F6-2026))</f>
        <v/>
      </c>
      <c r="G9" s="43">
        <f>MAX(1,MIN(5,G6-2026))</f>
        <v/>
      </c>
      <c r="H9" s="43">
        <f>MAX(1,MIN(5,H6-2026))</f>
        <v/>
      </c>
      <c r="I9" s="43">
        <f>MAX(1,MIN(5,I6-2026))</f>
        <v/>
      </c>
      <c r="J9" s="43">
        <f>MAX(1,MIN(5,J6-2026))</f>
        <v/>
      </c>
      <c r="K9" s="43">
        <f>MAX(1,MIN(5,K6-2026))</f>
        <v/>
      </c>
      <c r="L9" s="43">
        <f>MAX(1,MIN(5,L6-2026))</f>
        <v/>
      </c>
      <c r="M9" s="43">
        <f>MAX(1,MIN(5,M6-2026))</f>
        <v/>
      </c>
      <c r="N9" s="43">
        <f>MAX(1,MIN(5,N6-2026))</f>
        <v/>
      </c>
      <c r="O9" s="43">
        <f>MAX(1,MIN(5,O6-2026))</f>
        <v/>
      </c>
      <c r="P9" s="43">
        <f>MAX(1,MIN(5,P6-2026))</f>
        <v/>
      </c>
      <c r="Q9" s="43">
        <f>MAX(1,MIN(5,Q6-2026))</f>
        <v/>
      </c>
      <c r="R9" s="43">
        <f>MAX(1,MIN(5,R6-2026))</f>
        <v/>
      </c>
      <c r="S9" s="43">
        <f>MAX(1,MIN(5,S6-2026))</f>
        <v/>
      </c>
      <c r="T9" s="43">
        <f>MAX(1,MIN(5,T6-2026))</f>
        <v/>
      </c>
      <c r="U9" s="43">
        <f>MAX(1,MIN(5,U6-2026))</f>
        <v/>
      </c>
      <c r="V9" s="43">
        <f>MAX(1,MIN(5,V6-2026))</f>
        <v/>
      </c>
      <c r="W9" s="43">
        <f>MAX(1,MIN(5,W6-2026))</f>
        <v/>
      </c>
      <c r="X9" s="43">
        <f>MAX(1,MIN(5,X6-2026))</f>
        <v/>
      </c>
      <c r="Y9" s="43">
        <f>MAX(1,MIN(5,Y6-2026))</f>
        <v/>
      </c>
      <c r="Z9" s="43">
        <f>MAX(1,MIN(5,Z6-2026))</f>
        <v/>
      </c>
      <c r="AA9" s="43">
        <f>MAX(1,MIN(5,AA6-2026))</f>
        <v/>
      </c>
      <c r="AB9" s="43">
        <f>MAX(1,MIN(5,AB6-2026))</f>
        <v/>
      </c>
      <c r="AC9" s="43">
        <f>MAX(1,MIN(5,AC6-2026))</f>
        <v/>
      </c>
      <c r="AD9" s="43">
        <f>MAX(1,MIN(5,AD6-2026))</f>
        <v/>
      </c>
      <c r="AE9" s="43">
        <f>MAX(1,MIN(5,AE6-2026))</f>
        <v/>
      </c>
      <c r="AF9" s="43">
        <f>MAX(1,MIN(5,AF6-2026))</f>
        <v/>
      </c>
      <c r="AG9" s="43">
        <f>MAX(1,MIN(5,AG6-2026))</f>
        <v/>
      </c>
      <c r="AH9" s="43">
        <f>MAX(1,MIN(5,AH6-2026))</f>
        <v/>
      </c>
      <c r="AI9" s="43">
        <f>MAX(1,MIN(5,AI6-2026))</f>
        <v/>
      </c>
      <c r="AJ9" s="43">
        <f>MAX(1,MIN(5,AJ6-2026))</f>
        <v/>
      </c>
      <c r="AK9" s="43">
        <f>MAX(1,MIN(5,AK6-2026))</f>
        <v/>
      </c>
      <c r="AL9" s="43">
        <f>MAX(1,MIN(5,AL6-2026))</f>
        <v/>
      </c>
      <c r="AM9" s="43">
        <f>MAX(1,MIN(5,AM6-2026))</f>
        <v/>
      </c>
      <c r="AN9" s="43">
        <f>MAX(1,MIN(5,AN6-2026))</f>
        <v/>
      </c>
      <c r="AO9" s="43">
        <f>MAX(1,MIN(5,AO6-2026))</f>
        <v/>
      </c>
      <c r="AP9" s="43">
        <f>MAX(1,MIN(5,AP6-2026))</f>
        <v/>
      </c>
      <c r="AQ9" s="43">
        <f>MAX(1,MIN(5,AQ6-2026))</f>
        <v/>
      </c>
      <c r="AR9" s="43">
        <f>MAX(1,MIN(5,AR6-2026))</f>
        <v/>
      </c>
      <c r="AS9" s="43">
        <f>MAX(1,MIN(5,AS6-2026))</f>
        <v/>
      </c>
      <c r="AT9" s="43">
        <f>MAX(1,MIN(5,AT6-2026))</f>
        <v/>
      </c>
      <c r="AU9" s="43">
        <f>MAX(1,MIN(5,AU6-2026))</f>
        <v/>
      </c>
      <c r="AV9" s="43">
        <f>MAX(1,MIN(5,AV6-2026))</f>
        <v/>
      </c>
      <c r="AW9" s="43">
        <f>MAX(1,MIN(5,AW6-2026))</f>
        <v/>
      </c>
      <c r="AX9" s="43">
        <f>MAX(1,MIN(5,AX6-2026))</f>
        <v/>
      </c>
      <c r="AY9" s="43">
        <f>MAX(1,MIN(5,AY6-2026))</f>
        <v/>
      </c>
      <c r="AZ9" s="43">
        <f>MAX(1,MIN(5,AZ6-2026))</f>
        <v/>
      </c>
      <c r="BA9" s="43">
        <f>MAX(1,MIN(5,BA6-2026))</f>
        <v/>
      </c>
      <c r="BB9" s="43">
        <f>MAX(1,MIN(5,BB6-2026))</f>
        <v/>
      </c>
      <c r="BC9" s="43">
        <f>MAX(1,MIN(5,BC6-2026))</f>
        <v/>
      </c>
      <c r="BD9" s="43">
        <f>MAX(1,MIN(5,BD6-2026))</f>
        <v/>
      </c>
      <c r="BE9" s="43">
        <f>MAX(1,MIN(5,BE6-2026))</f>
        <v/>
      </c>
      <c r="BF9" s="43">
        <f>MAX(1,MIN(5,BF6-2026))</f>
        <v/>
      </c>
      <c r="BG9" s="43">
        <f>MAX(1,MIN(5,BG6-2026))</f>
        <v/>
      </c>
      <c r="BH9" s="43">
        <f>MAX(1,MIN(5,BH6-2026))</f>
        <v/>
      </c>
      <c r="BI9" s="43">
        <f>MAX(1,MIN(5,BI6-2026))</f>
        <v/>
      </c>
      <c r="BJ9" s="43">
        <f>MAX(1,MIN(5,BJ6-2026))</f>
        <v/>
      </c>
      <c r="BK9" s="43">
        <f>MAX(1,MIN(5,BK6-2026))</f>
        <v/>
      </c>
      <c r="BL9" s="43">
        <f>MAX(1,MIN(5,BL6-2026))</f>
        <v/>
      </c>
      <c r="BM9" s="43">
        <f>MAX(1,MIN(5,BM6-2026))</f>
        <v/>
      </c>
    </row>
    <row r="10">
      <c r="A10" s="4" t="inlineStr">
        <is>
          <t>المرحلة</t>
        </is>
      </c>
      <c r="B10" s="22" t="inlineStr"/>
      <c r="C10" s="44">
        <f>IF(C7&lt;1,"ما قبل الإطلاق",IF(C7=1,"تجربة",IF(C7&lt;'الافتراضات'!$C$20,"المدينة",IF(C7&lt;'الافتراضات'!$C$117,"القرى","متعدد المراكز"))))</f>
        <v/>
      </c>
      <c r="D10" s="44">
        <f>IF(D7&lt;1,"ما قبل الإطلاق",IF(D7=1,"تجربة",IF(D7&lt;'الافتراضات'!$C$20,"المدينة",IF(D7&lt;'الافتراضات'!$C$117,"القرى","متعدد المراكز"))))</f>
        <v/>
      </c>
      <c r="E10" s="44">
        <f>IF(E7&lt;1,"ما قبل الإطلاق",IF(E7=1,"تجربة",IF(E7&lt;'الافتراضات'!$C$20,"المدينة",IF(E7&lt;'الافتراضات'!$C$117,"القرى","متعدد المراكز"))))</f>
        <v/>
      </c>
      <c r="F10" s="44">
        <f>IF(F7&lt;1,"ما قبل الإطلاق",IF(F7=1,"تجربة",IF(F7&lt;'الافتراضات'!$C$20,"المدينة",IF(F7&lt;'الافتراضات'!$C$117,"القرى","متعدد المراكز"))))</f>
        <v/>
      </c>
      <c r="G10" s="44">
        <f>IF(G7&lt;1,"ما قبل الإطلاق",IF(G7=1,"تجربة",IF(G7&lt;'الافتراضات'!$C$20,"المدينة",IF(G7&lt;'الافتراضات'!$C$117,"القرى","متعدد المراكز"))))</f>
        <v/>
      </c>
      <c r="H10" s="44">
        <f>IF(H7&lt;1,"ما قبل الإطلاق",IF(H7=1,"تجربة",IF(H7&lt;'الافتراضات'!$C$20,"المدينة",IF(H7&lt;'الافتراضات'!$C$117,"القرى","متعدد المراكز"))))</f>
        <v/>
      </c>
      <c r="I10" s="44">
        <f>IF(I7&lt;1,"ما قبل الإطلاق",IF(I7=1,"تجربة",IF(I7&lt;'الافتراضات'!$C$20,"المدينة",IF(I7&lt;'الافتراضات'!$C$117,"القرى","متعدد المراكز"))))</f>
        <v/>
      </c>
      <c r="J10" s="44">
        <f>IF(J7&lt;1,"ما قبل الإطلاق",IF(J7=1,"تجربة",IF(J7&lt;'الافتراضات'!$C$20,"المدينة",IF(J7&lt;'الافتراضات'!$C$117,"القرى","متعدد المراكز"))))</f>
        <v/>
      </c>
      <c r="K10" s="44">
        <f>IF(K7&lt;1,"ما قبل الإطلاق",IF(K7=1,"تجربة",IF(K7&lt;'الافتراضات'!$C$20,"المدينة",IF(K7&lt;'الافتراضات'!$C$117,"القرى","متعدد المراكز"))))</f>
        <v/>
      </c>
      <c r="L10" s="44">
        <f>IF(L7&lt;1,"ما قبل الإطلاق",IF(L7=1,"تجربة",IF(L7&lt;'الافتراضات'!$C$20,"المدينة",IF(L7&lt;'الافتراضات'!$C$117,"القرى","متعدد المراكز"))))</f>
        <v/>
      </c>
      <c r="M10" s="44">
        <f>IF(M7&lt;1,"ما قبل الإطلاق",IF(M7=1,"تجربة",IF(M7&lt;'الافتراضات'!$C$20,"المدينة",IF(M7&lt;'الافتراضات'!$C$117,"القرى","متعدد المراكز"))))</f>
        <v/>
      </c>
      <c r="N10" s="44">
        <f>IF(N7&lt;1,"ما قبل الإطلاق",IF(N7=1,"تجربة",IF(N7&lt;'الافتراضات'!$C$20,"المدينة",IF(N7&lt;'الافتراضات'!$C$117,"القرى","متعدد المراكز"))))</f>
        <v/>
      </c>
      <c r="O10" s="44">
        <f>IF(O7&lt;1,"ما قبل الإطلاق",IF(O7=1,"تجربة",IF(O7&lt;'الافتراضات'!$C$20,"المدينة",IF(O7&lt;'الافتراضات'!$C$117,"القرى","متعدد المراكز"))))</f>
        <v/>
      </c>
      <c r="P10" s="44">
        <f>IF(P7&lt;1,"ما قبل الإطلاق",IF(P7=1,"تجربة",IF(P7&lt;'الافتراضات'!$C$20,"المدينة",IF(P7&lt;'الافتراضات'!$C$117,"القرى","متعدد المراكز"))))</f>
        <v/>
      </c>
      <c r="Q10" s="44">
        <f>IF(Q7&lt;1,"ما قبل الإطلاق",IF(Q7=1,"تجربة",IF(Q7&lt;'الافتراضات'!$C$20,"المدينة",IF(Q7&lt;'الافتراضات'!$C$117,"القرى","متعدد المراكز"))))</f>
        <v/>
      </c>
      <c r="R10" s="44">
        <f>IF(R7&lt;1,"ما قبل الإطلاق",IF(R7=1,"تجربة",IF(R7&lt;'الافتراضات'!$C$20,"المدينة",IF(R7&lt;'الافتراضات'!$C$117,"القرى","متعدد المراكز"))))</f>
        <v/>
      </c>
      <c r="S10" s="44">
        <f>IF(S7&lt;1,"ما قبل الإطلاق",IF(S7=1,"تجربة",IF(S7&lt;'الافتراضات'!$C$20,"المدينة",IF(S7&lt;'الافتراضات'!$C$117,"القرى","متعدد المراكز"))))</f>
        <v/>
      </c>
      <c r="T10" s="44">
        <f>IF(T7&lt;1,"ما قبل الإطلاق",IF(T7=1,"تجربة",IF(T7&lt;'الافتراضات'!$C$20,"المدينة",IF(T7&lt;'الافتراضات'!$C$117,"القرى","متعدد المراكز"))))</f>
        <v/>
      </c>
      <c r="U10" s="44">
        <f>IF(U7&lt;1,"ما قبل الإطلاق",IF(U7=1,"تجربة",IF(U7&lt;'الافتراضات'!$C$20,"المدينة",IF(U7&lt;'الافتراضات'!$C$117,"القرى","متعدد المراكز"))))</f>
        <v/>
      </c>
      <c r="V10" s="44">
        <f>IF(V7&lt;1,"ما قبل الإطلاق",IF(V7=1,"تجربة",IF(V7&lt;'الافتراضات'!$C$20,"المدينة",IF(V7&lt;'الافتراضات'!$C$117,"القرى","متعدد المراكز"))))</f>
        <v/>
      </c>
      <c r="W10" s="44">
        <f>IF(W7&lt;1,"ما قبل الإطلاق",IF(W7=1,"تجربة",IF(W7&lt;'الافتراضات'!$C$20,"المدينة",IF(W7&lt;'الافتراضات'!$C$117,"القرى","متعدد المراكز"))))</f>
        <v/>
      </c>
      <c r="X10" s="44">
        <f>IF(X7&lt;1,"ما قبل الإطلاق",IF(X7=1,"تجربة",IF(X7&lt;'الافتراضات'!$C$20,"المدينة",IF(X7&lt;'الافتراضات'!$C$117,"القرى","متعدد المراكز"))))</f>
        <v/>
      </c>
      <c r="Y10" s="44">
        <f>IF(Y7&lt;1,"ما قبل الإطلاق",IF(Y7=1,"تجربة",IF(Y7&lt;'الافتراضات'!$C$20,"المدينة",IF(Y7&lt;'الافتراضات'!$C$117,"القرى","متعدد المراكز"))))</f>
        <v/>
      </c>
      <c r="Z10" s="44">
        <f>IF(Z7&lt;1,"ما قبل الإطلاق",IF(Z7=1,"تجربة",IF(Z7&lt;'الافتراضات'!$C$20,"المدينة",IF(Z7&lt;'الافتراضات'!$C$117,"القرى","متعدد المراكز"))))</f>
        <v/>
      </c>
      <c r="AA10" s="44">
        <f>IF(AA7&lt;1,"ما قبل الإطلاق",IF(AA7=1,"تجربة",IF(AA7&lt;'الافتراضات'!$C$20,"المدينة",IF(AA7&lt;'الافتراضات'!$C$117,"القرى","متعدد المراكز"))))</f>
        <v/>
      </c>
      <c r="AB10" s="44">
        <f>IF(AB7&lt;1,"ما قبل الإطلاق",IF(AB7=1,"تجربة",IF(AB7&lt;'الافتراضات'!$C$20,"المدينة",IF(AB7&lt;'الافتراضات'!$C$117,"القرى","متعدد المراكز"))))</f>
        <v/>
      </c>
      <c r="AC10" s="44">
        <f>IF(AC7&lt;1,"ما قبل الإطلاق",IF(AC7=1,"تجربة",IF(AC7&lt;'الافتراضات'!$C$20,"المدينة",IF(AC7&lt;'الافتراضات'!$C$117,"القرى","متعدد المراكز"))))</f>
        <v/>
      </c>
      <c r="AD10" s="44">
        <f>IF(AD7&lt;1,"ما قبل الإطلاق",IF(AD7=1,"تجربة",IF(AD7&lt;'الافتراضات'!$C$20,"المدينة",IF(AD7&lt;'الافتراضات'!$C$117,"القرى","متعدد المراكز"))))</f>
        <v/>
      </c>
      <c r="AE10" s="44">
        <f>IF(AE7&lt;1,"ما قبل الإطلاق",IF(AE7=1,"تجربة",IF(AE7&lt;'الافتراضات'!$C$20,"المدينة",IF(AE7&lt;'الافتراضات'!$C$117,"القرى","متعدد المراكز"))))</f>
        <v/>
      </c>
      <c r="AF10" s="44">
        <f>IF(AF7&lt;1,"ما قبل الإطلاق",IF(AF7=1,"تجربة",IF(AF7&lt;'الافتراضات'!$C$20,"المدينة",IF(AF7&lt;'الافتراضات'!$C$117,"القرى","متعدد المراكز"))))</f>
        <v/>
      </c>
      <c r="AG10" s="44">
        <f>IF(AG7&lt;1,"ما قبل الإطلاق",IF(AG7=1,"تجربة",IF(AG7&lt;'الافتراضات'!$C$20,"المدينة",IF(AG7&lt;'الافتراضات'!$C$117,"القرى","متعدد المراكز"))))</f>
        <v/>
      </c>
      <c r="AH10" s="44">
        <f>IF(AH7&lt;1,"ما قبل الإطلاق",IF(AH7=1,"تجربة",IF(AH7&lt;'الافتراضات'!$C$20,"المدينة",IF(AH7&lt;'الافتراضات'!$C$117,"القرى","متعدد المراكز"))))</f>
        <v/>
      </c>
      <c r="AI10" s="44">
        <f>IF(AI7&lt;1,"ما قبل الإطلاق",IF(AI7=1,"تجربة",IF(AI7&lt;'الافتراضات'!$C$20,"المدينة",IF(AI7&lt;'الافتراضات'!$C$117,"القرى","متعدد المراكز"))))</f>
        <v/>
      </c>
      <c r="AJ10" s="44">
        <f>IF(AJ7&lt;1,"ما قبل الإطلاق",IF(AJ7=1,"تجربة",IF(AJ7&lt;'الافتراضات'!$C$20,"المدينة",IF(AJ7&lt;'الافتراضات'!$C$117,"القرى","متعدد المراكز"))))</f>
        <v/>
      </c>
      <c r="AK10" s="44">
        <f>IF(AK7&lt;1,"ما قبل الإطلاق",IF(AK7=1,"تجربة",IF(AK7&lt;'الافتراضات'!$C$20,"المدينة",IF(AK7&lt;'الافتراضات'!$C$117,"القرى","متعدد المراكز"))))</f>
        <v/>
      </c>
      <c r="AL10" s="44">
        <f>IF(AL7&lt;1,"ما قبل الإطلاق",IF(AL7=1,"تجربة",IF(AL7&lt;'الافتراضات'!$C$20,"المدينة",IF(AL7&lt;'الافتراضات'!$C$117,"القرى","متعدد المراكز"))))</f>
        <v/>
      </c>
      <c r="AM10" s="44">
        <f>IF(AM7&lt;1,"ما قبل الإطلاق",IF(AM7=1,"تجربة",IF(AM7&lt;'الافتراضات'!$C$20,"المدينة",IF(AM7&lt;'الافتراضات'!$C$117,"القرى","متعدد المراكز"))))</f>
        <v/>
      </c>
      <c r="AN10" s="44">
        <f>IF(AN7&lt;1,"ما قبل الإطلاق",IF(AN7=1,"تجربة",IF(AN7&lt;'الافتراضات'!$C$20,"المدينة",IF(AN7&lt;'الافتراضات'!$C$117,"القرى","متعدد المراكز"))))</f>
        <v/>
      </c>
      <c r="AO10" s="44">
        <f>IF(AO7&lt;1,"ما قبل الإطلاق",IF(AO7=1,"تجربة",IF(AO7&lt;'الافتراضات'!$C$20,"المدينة",IF(AO7&lt;'الافتراضات'!$C$117,"القرى","متعدد المراكز"))))</f>
        <v/>
      </c>
      <c r="AP10" s="44">
        <f>IF(AP7&lt;1,"ما قبل الإطلاق",IF(AP7=1,"تجربة",IF(AP7&lt;'الافتراضات'!$C$20,"المدينة",IF(AP7&lt;'الافتراضات'!$C$117,"القرى","متعدد المراكز"))))</f>
        <v/>
      </c>
      <c r="AQ10" s="44">
        <f>IF(AQ7&lt;1,"ما قبل الإطلاق",IF(AQ7=1,"تجربة",IF(AQ7&lt;'الافتراضات'!$C$20,"المدينة",IF(AQ7&lt;'الافتراضات'!$C$117,"القرى","متعدد المراكز"))))</f>
        <v/>
      </c>
      <c r="AR10" s="44">
        <f>IF(AR7&lt;1,"ما قبل الإطلاق",IF(AR7=1,"تجربة",IF(AR7&lt;'الافتراضات'!$C$20,"المدينة",IF(AR7&lt;'الافتراضات'!$C$117,"القرى","متعدد المراكز"))))</f>
        <v/>
      </c>
      <c r="AS10" s="44">
        <f>IF(AS7&lt;1,"ما قبل الإطلاق",IF(AS7=1,"تجربة",IF(AS7&lt;'الافتراضات'!$C$20,"المدينة",IF(AS7&lt;'الافتراضات'!$C$117,"القرى","متعدد المراكز"))))</f>
        <v/>
      </c>
      <c r="AT10" s="44">
        <f>IF(AT7&lt;1,"ما قبل الإطلاق",IF(AT7=1,"تجربة",IF(AT7&lt;'الافتراضات'!$C$20,"المدينة",IF(AT7&lt;'الافتراضات'!$C$117,"القرى","متعدد المراكز"))))</f>
        <v/>
      </c>
      <c r="AU10" s="44">
        <f>IF(AU7&lt;1,"ما قبل الإطلاق",IF(AU7=1,"تجربة",IF(AU7&lt;'الافتراضات'!$C$20,"المدينة",IF(AU7&lt;'الافتراضات'!$C$117,"القرى","متعدد المراكز"))))</f>
        <v/>
      </c>
      <c r="AV10" s="44">
        <f>IF(AV7&lt;1,"ما قبل الإطلاق",IF(AV7=1,"تجربة",IF(AV7&lt;'الافتراضات'!$C$20,"المدينة",IF(AV7&lt;'الافتراضات'!$C$117,"القرى","متعدد المراكز"))))</f>
        <v/>
      </c>
      <c r="AW10" s="44">
        <f>IF(AW7&lt;1,"ما قبل الإطلاق",IF(AW7=1,"تجربة",IF(AW7&lt;'الافتراضات'!$C$20,"المدينة",IF(AW7&lt;'الافتراضات'!$C$117,"القرى","متعدد المراكز"))))</f>
        <v/>
      </c>
      <c r="AX10" s="44">
        <f>IF(AX7&lt;1,"ما قبل الإطلاق",IF(AX7=1,"تجربة",IF(AX7&lt;'الافتراضات'!$C$20,"المدينة",IF(AX7&lt;'الافتراضات'!$C$117,"القرى","متعدد المراكز"))))</f>
        <v/>
      </c>
      <c r="AY10" s="44">
        <f>IF(AY7&lt;1,"ما قبل الإطلاق",IF(AY7=1,"تجربة",IF(AY7&lt;'الافتراضات'!$C$20,"المدينة",IF(AY7&lt;'الافتراضات'!$C$117,"القرى","متعدد المراكز"))))</f>
        <v/>
      </c>
      <c r="AZ10" s="44">
        <f>IF(AZ7&lt;1,"ما قبل الإطلاق",IF(AZ7=1,"تجربة",IF(AZ7&lt;'الافتراضات'!$C$20,"المدينة",IF(AZ7&lt;'الافتراضات'!$C$117,"القرى","متعدد المراكز"))))</f>
        <v/>
      </c>
      <c r="BA10" s="44">
        <f>IF(BA7&lt;1,"ما قبل الإطلاق",IF(BA7=1,"تجربة",IF(BA7&lt;'الافتراضات'!$C$20,"المدينة",IF(BA7&lt;'الافتراضات'!$C$117,"القرى","متعدد المراكز"))))</f>
        <v/>
      </c>
      <c r="BB10" s="44">
        <f>IF(BB7&lt;1,"ما قبل الإطلاق",IF(BB7=1,"تجربة",IF(BB7&lt;'الافتراضات'!$C$20,"المدينة",IF(BB7&lt;'الافتراضات'!$C$117,"القرى","متعدد المراكز"))))</f>
        <v/>
      </c>
      <c r="BC10" s="44">
        <f>IF(BC7&lt;1,"ما قبل الإطلاق",IF(BC7=1,"تجربة",IF(BC7&lt;'الافتراضات'!$C$20,"المدينة",IF(BC7&lt;'الافتراضات'!$C$117,"القرى","متعدد المراكز"))))</f>
        <v/>
      </c>
      <c r="BD10" s="44">
        <f>IF(BD7&lt;1,"ما قبل الإطلاق",IF(BD7=1,"تجربة",IF(BD7&lt;'الافتراضات'!$C$20,"المدينة",IF(BD7&lt;'الافتراضات'!$C$117,"القرى","متعدد المراكز"))))</f>
        <v/>
      </c>
      <c r="BE10" s="44">
        <f>IF(BE7&lt;1,"ما قبل الإطلاق",IF(BE7=1,"تجربة",IF(BE7&lt;'الافتراضات'!$C$20,"المدينة",IF(BE7&lt;'الافتراضات'!$C$117,"القرى","متعدد المراكز"))))</f>
        <v/>
      </c>
      <c r="BF10" s="44">
        <f>IF(BF7&lt;1,"ما قبل الإطلاق",IF(BF7=1,"تجربة",IF(BF7&lt;'الافتراضات'!$C$20,"المدينة",IF(BF7&lt;'الافتراضات'!$C$117,"القرى","متعدد المراكز"))))</f>
        <v/>
      </c>
      <c r="BG10" s="44">
        <f>IF(BG7&lt;1,"ما قبل الإطلاق",IF(BG7=1,"تجربة",IF(BG7&lt;'الافتراضات'!$C$20,"المدينة",IF(BG7&lt;'الافتراضات'!$C$117,"القرى","متعدد المراكز"))))</f>
        <v/>
      </c>
      <c r="BH10" s="44">
        <f>IF(BH7&lt;1,"ما قبل الإطلاق",IF(BH7=1,"تجربة",IF(BH7&lt;'الافتراضات'!$C$20,"المدينة",IF(BH7&lt;'الافتراضات'!$C$117,"القرى","متعدد المراكز"))))</f>
        <v/>
      </c>
      <c r="BI10" s="44">
        <f>IF(BI7&lt;1,"ما قبل الإطلاق",IF(BI7=1,"تجربة",IF(BI7&lt;'الافتراضات'!$C$20,"المدينة",IF(BI7&lt;'الافتراضات'!$C$117,"القرى","متعدد المراكز"))))</f>
        <v/>
      </c>
      <c r="BJ10" s="44">
        <f>IF(BJ7&lt;1,"ما قبل الإطلاق",IF(BJ7=1,"تجربة",IF(BJ7&lt;'الافتراضات'!$C$20,"المدينة",IF(BJ7&lt;'الافتراضات'!$C$117,"القرى","متعدد المراكز"))))</f>
        <v/>
      </c>
      <c r="BK10" s="44">
        <f>IF(BK7&lt;1,"ما قبل الإطلاق",IF(BK7=1,"تجربة",IF(BK7&lt;'الافتراضات'!$C$20,"المدينة",IF(BK7&lt;'الافتراضات'!$C$117,"القرى","متعدد المراكز"))))</f>
        <v/>
      </c>
      <c r="BL10" s="44">
        <f>IF(BL7&lt;1,"ما قبل الإطلاق",IF(BL7=1,"تجربة",IF(BL7&lt;'الافتراضات'!$C$20,"المدينة",IF(BL7&lt;'الافتراضات'!$C$117,"القرى","متعدد المراكز"))))</f>
        <v/>
      </c>
      <c r="BM10" s="44">
        <f>IF(BM7&lt;1,"ما قبل الإطلاق",IF(BM7=1,"تجربة",IF(BM7&lt;'الافتراضات'!$C$20,"المدينة",IF(BM7&lt;'الافتراضات'!$C$117,"القرى","متعدد المراكز"))))</f>
        <v/>
      </c>
    </row>
    <row r="11"/>
    <row r="12">
      <c r="A12" s="40" t="inlineStr">
        <is>
          <t>العملاء</t>
        </is>
      </c>
      <c r="B12" s="41" t="n"/>
      <c r="C12" s="41" t="n"/>
      <c r="D12" s="41" t="n"/>
      <c r="E12" s="41" t="n"/>
      <c r="F12" s="41" t="n"/>
      <c r="G12" s="41" t="n"/>
      <c r="H12" s="41" t="n"/>
      <c r="I12" s="41" t="n"/>
      <c r="J12" s="41" t="n"/>
      <c r="K12" s="41" t="n"/>
      <c r="L12" s="41" t="n"/>
      <c r="M12" s="41" t="n"/>
      <c r="N12" s="41" t="n"/>
      <c r="O12" s="41" t="n"/>
      <c r="P12" s="41" t="n"/>
      <c r="Q12" s="41" t="n"/>
      <c r="R12" s="41" t="n"/>
      <c r="S12" s="41" t="n"/>
      <c r="T12" s="41" t="n"/>
      <c r="U12" s="41" t="n"/>
      <c r="V12" s="41" t="n"/>
      <c r="W12" s="41" t="n"/>
      <c r="X12" s="41" t="n"/>
      <c r="Y12" s="41" t="n"/>
      <c r="Z12" s="41" t="n"/>
      <c r="AA12" s="41" t="n"/>
      <c r="AB12" s="41" t="n"/>
      <c r="AC12" s="41" t="n"/>
      <c r="AD12" s="41" t="n"/>
      <c r="AE12" s="41" t="n"/>
      <c r="AF12" s="41" t="n"/>
      <c r="AG12" s="41" t="n"/>
      <c r="AH12" s="41" t="n"/>
      <c r="AI12" s="41" t="n"/>
      <c r="AJ12" s="41" t="n"/>
      <c r="AK12" s="41" t="n"/>
      <c r="AL12" s="41" t="n"/>
      <c r="AM12" s="41" t="n"/>
      <c r="AN12" s="41" t="n"/>
      <c r="AO12" s="41" t="n"/>
      <c r="AP12" s="41" t="n"/>
      <c r="AQ12" s="41" t="n"/>
      <c r="AR12" s="41" t="n"/>
      <c r="AS12" s="41" t="n"/>
      <c r="AT12" s="41" t="n"/>
      <c r="AU12" s="41" t="n"/>
      <c r="AV12" s="41" t="n"/>
      <c r="AW12" s="41" t="n"/>
      <c r="AX12" s="41" t="n"/>
      <c r="AY12" s="41" t="n"/>
      <c r="AZ12" s="41" t="n"/>
      <c r="BA12" s="41" t="n"/>
      <c r="BB12" s="41" t="n"/>
      <c r="BC12" s="41" t="n"/>
      <c r="BD12" s="41" t="n"/>
      <c r="BE12" s="41" t="n"/>
      <c r="BF12" s="41" t="n"/>
      <c r="BG12" s="41" t="n"/>
      <c r="BH12" s="41" t="n"/>
      <c r="BI12" s="41" t="n"/>
      <c r="BJ12" s="41" t="n"/>
      <c r="BK12" s="41" t="n"/>
      <c r="BL12" s="41" t="n"/>
      <c r="BM12" s="41" t="n"/>
    </row>
    <row r="13">
      <c r="A13" s="4" t="inlineStr">
        <is>
          <t>إنفاق تسويق الاستحواذ — أبو المطامير</t>
        </is>
      </c>
      <c r="B13" s="22" t="inlineStr">
        <is>
          <t>ج.م</t>
        </is>
      </c>
      <c r="C13" s="45">
        <f>C8*IF(C7=1,'الافتراضات'!$C$25,IF(C7=2,'الافتراضات'!$C$26,IF(C7=3,'الافتراضات'!$C$27,INDEX('الافتراضات'!$C$28:$G$28,C$9))))</f>
        <v/>
      </c>
      <c r="D13" s="45">
        <f>D8*IF(D7=1,'الافتراضات'!$C$25,IF(D7=2,'الافتراضات'!$C$26,IF(D7=3,'الافتراضات'!$C$27,INDEX('الافتراضات'!$C$28:$G$28,D$9))))</f>
        <v/>
      </c>
      <c r="E13" s="45">
        <f>E8*IF(E7=1,'الافتراضات'!$C$25,IF(E7=2,'الافتراضات'!$C$26,IF(E7=3,'الافتراضات'!$C$27,INDEX('الافتراضات'!$C$28:$G$28,E$9))))</f>
        <v/>
      </c>
      <c r="F13" s="45">
        <f>F8*IF(F7=1,'الافتراضات'!$C$25,IF(F7=2,'الافتراضات'!$C$26,IF(F7=3,'الافتراضات'!$C$27,INDEX('الافتراضات'!$C$28:$G$28,F$9))))</f>
        <v/>
      </c>
      <c r="G13" s="45">
        <f>G8*IF(G7=1,'الافتراضات'!$C$25,IF(G7=2,'الافتراضات'!$C$26,IF(G7=3,'الافتراضات'!$C$27,INDEX('الافتراضات'!$C$28:$G$28,G$9))))</f>
        <v/>
      </c>
      <c r="H13" s="45">
        <f>H8*IF(H7=1,'الافتراضات'!$C$25,IF(H7=2,'الافتراضات'!$C$26,IF(H7=3,'الافتراضات'!$C$27,INDEX('الافتراضات'!$C$28:$G$28,H$9))))</f>
        <v/>
      </c>
      <c r="I13" s="45">
        <f>I8*IF(I7=1,'الافتراضات'!$C$25,IF(I7=2,'الافتراضات'!$C$26,IF(I7=3,'الافتراضات'!$C$27,INDEX('الافتراضات'!$C$28:$G$28,I$9))))</f>
        <v/>
      </c>
      <c r="J13" s="45">
        <f>J8*IF(J7=1,'الافتراضات'!$C$25,IF(J7=2,'الافتراضات'!$C$26,IF(J7=3,'الافتراضات'!$C$27,INDEX('الافتراضات'!$C$28:$G$28,J$9))))</f>
        <v/>
      </c>
      <c r="K13" s="45">
        <f>K8*IF(K7=1,'الافتراضات'!$C$25,IF(K7=2,'الافتراضات'!$C$26,IF(K7=3,'الافتراضات'!$C$27,INDEX('الافتراضات'!$C$28:$G$28,K$9))))</f>
        <v/>
      </c>
      <c r="L13" s="45">
        <f>L8*IF(L7=1,'الافتراضات'!$C$25,IF(L7=2,'الافتراضات'!$C$26,IF(L7=3,'الافتراضات'!$C$27,INDEX('الافتراضات'!$C$28:$G$28,L$9))))</f>
        <v/>
      </c>
      <c r="M13" s="45">
        <f>M8*IF(M7=1,'الافتراضات'!$C$25,IF(M7=2,'الافتراضات'!$C$26,IF(M7=3,'الافتراضات'!$C$27,INDEX('الافتراضات'!$C$28:$G$28,M$9))))</f>
        <v/>
      </c>
      <c r="N13" s="45">
        <f>N8*IF(N7=1,'الافتراضات'!$C$25,IF(N7=2,'الافتراضات'!$C$26,IF(N7=3,'الافتراضات'!$C$27,INDEX('الافتراضات'!$C$28:$G$28,N$9))))</f>
        <v/>
      </c>
      <c r="O13" s="45">
        <f>O8*IF(O7=1,'الافتراضات'!$C$25,IF(O7=2,'الافتراضات'!$C$26,IF(O7=3,'الافتراضات'!$C$27,INDEX('الافتراضات'!$C$28:$G$28,O$9))))</f>
        <v/>
      </c>
      <c r="P13" s="45">
        <f>P8*IF(P7=1,'الافتراضات'!$C$25,IF(P7=2,'الافتراضات'!$C$26,IF(P7=3,'الافتراضات'!$C$27,INDEX('الافتراضات'!$C$28:$G$28,P$9))))</f>
        <v/>
      </c>
      <c r="Q13" s="45">
        <f>Q8*IF(Q7=1,'الافتراضات'!$C$25,IF(Q7=2,'الافتراضات'!$C$26,IF(Q7=3,'الافتراضات'!$C$27,INDEX('الافتراضات'!$C$28:$G$28,Q$9))))</f>
        <v/>
      </c>
      <c r="R13" s="45">
        <f>R8*IF(R7=1,'الافتراضات'!$C$25,IF(R7=2,'الافتراضات'!$C$26,IF(R7=3,'الافتراضات'!$C$27,INDEX('الافتراضات'!$C$28:$G$28,R$9))))</f>
        <v/>
      </c>
      <c r="S13" s="45">
        <f>S8*IF(S7=1,'الافتراضات'!$C$25,IF(S7=2,'الافتراضات'!$C$26,IF(S7=3,'الافتراضات'!$C$27,INDEX('الافتراضات'!$C$28:$G$28,S$9))))</f>
        <v/>
      </c>
      <c r="T13" s="45">
        <f>T8*IF(T7=1,'الافتراضات'!$C$25,IF(T7=2,'الافتراضات'!$C$26,IF(T7=3,'الافتراضات'!$C$27,INDEX('الافتراضات'!$C$28:$G$28,T$9))))</f>
        <v/>
      </c>
      <c r="U13" s="45">
        <f>U8*IF(U7=1,'الافتراضات'!$C$25,IF(U7=2,'الافتراضات'!$C$26,IF(U7=3,'الافتراضات'!$C$27,INDEX('الافتراضات'!$C$28:$G$28,U$9))))</f>
        <v/>
      </c>
      <c r="V13" s="45">
        <f>V8*IF(V7=1,'الافتراضات'!$C$25,IF(V7=2,'الافتراضات'!$C$26,IF(V7=3,'الافتراضات'!$C$27,INDEX('الافتراضات'!$C$28:$G$28,V$9))))</f>
        <v/>
      </c>
      <c r="W13" s="45">
        <f>W8*IF(W7=1,'الافتراضات'!$C$25,IF(W7=2,'الافتراضات'!$C$26,IF(W7=3,'الافتراضات'!$C$27,INDEX('الافتراضات'!$C$28:$G$28,W$9))))</f>
        <v/>
      </c>
      <c r="X13" s="45">
        <f>X8*IF(X7=1,'الافتراضات'!$C$25,IF(X7=2,'الافتراضات'!$C$26,IF(X7=3,'الافتراضات'!$C$27,INDEX('الافتراضات'!$C$28:$G$28,X$9))))</f>
        <v/>
      </c>
      <c r="Y13" s="45">
        <f>Y8*IF(Y7=1,'الافتراضات'!$C$25,IF(Y7=2,'الافتراضات'!$C$26,IF(Y7=3,'الافتراضات'!$C$27,INDEX('الافتراضات'!$C$28:$G$28,Y$9))))</f>
        <v/>
      </c>
      <c r="Z13" s="45">
        <f>Z8*IF(Z7=1,'الافتراضات'!$C$25,IF(Z7=2,'الافتراضات'!$C$26,IF(Z7=3,'الافتراضات'!$C$27,INDEX('الافتراضات'!$C$28:$G$28,Z$9))))</f>
        <v/>
      </c>
      <c r="AA13" s="45">
        <f>AA8*IF(AA7=1,'الافتراضات'!$C$25,IF(AA7=2,'الافتراضات'!$C$26,IF(AA7=3,'الافتراضات'!$C$27,INDEX('الافتراضات'!$C$28:$G$28,AA$9))))</f>
        <v/>
      </c>
      <c r="AB13" s="45">
        <f>AB8*IF(AB7=1,'الافتراضات'!$C$25,IF(AB7=2,'الافتراضات'!$C$26,IF(AB7=3,'الافتراضات'!$C$27,INDEX('الافتراضات'!$C$28:$G$28,AB$9))))</f>
        <v/>
      </c>
      <c r="AC13" s="45">
        <f>AC8*IF(AC7=1,'الافتراضات'!$C$25,IF(AC7=2,'الافتراضات'!$C$26,IF(AC7=3,'الافتراضات'!$C$27,INDEX('الافتراضات'!$C$28:$G$28,AC$9))))</f>
        <v/>
      </c>
      <c r="AD13" s="45">
        <f>AD8*IF(AD7=1,'الافتراضات'!$C$25,IF(AD7=2,'الافتراضات'!$C$26,IF(AD7=3,'الافتراضات'!$C$27,INDEX('الافتراضات'!$C$28:$G$28,AD$9))))</f>
        <v/>
      </c>
      <c r="AE13" s="45">
        <f>AE8*IF(AE7=1,'الافتراضات'!$C$25,IF(AE7=2,'الافتراضات'!$C$26,IF(AE7=3,'الافتراضات'!$C$27,INDEX('الافتراضات'!$C$28:$G$28,AE$9))))</f>
        <v/>
      </c>
      <c r="AF13" s="45">
        <f>AF8*IF(AF7=1,'الافتراضات'!$C$25,IF(AF7=2,'الافتراضات'!$C$26,IF(AF7=3,'الافتراضات'!$C$27,INDEX('الافتراضات'!$C$28:$G$28,AF$9))))</f>
        <v/>
      </c>
      <c r="AG13" s="45">
        <f>AG8*IF(AG7=1,'الافتراضات'!$C$25,IF(AG7=2,'الافتراضات'!$C$26,IF(AG7=3,'الافتراضات'!$C$27,INDEX('الافتراضات'!$C$28:$G$28,AG$9))))</f>
        <v/>
      </c>
      <c r="AH13" s="45">
        <f>AH8*IF(AH7=1,'الافتراضات'!$C$25,IF(AH7=2,'الافتراضات'!$C$26,IF(AH7=3,'الافتراضات'!$C$27,INDEX('الافتراضات'!$C$28:$G$28,AH$9))))</f>
        <v/>
      </c>
      <c r="AI13" s="45">
        <f>AI8*IF(AI7=1,'الافتراضات'!$C$25,IF(AI7=2,'الافتراضات'!$C$26,IF(AI7=3,'الافتراضات'!$C$27,INDEX('الافتراضات'!$C$28:$G$28,AI$9))))</f>
        <v/>
      </c>
      <c r="AJ13" s="45">
        <f>AJ8*IF(AJ7=1,'الافتراضات'!$C$25,IF(AJ7=2,'الافتراضات'!$C$26,IF(AJ7=3,'الافتراضات'!$C$27,INDEX('الافتراضات'!$C$28:$G$28,AJ$9))))</f>
        <v/>
      </c>
      <c r="AK13" s="45">
        <f>AK8*IF(AK7=1,'الافتراضات'!$C$25,IF(AK7=2,'الافتراضات'!$C$26,IF(AK7=3,'الافتراضات'!$C$27,INDEX('الافتراضات'!$C$28:$G$28,AK$9))))</f>
        <v/>
      </c>
      <c r="AL13" s="45">
        <f>AL8*IF(AL7=1,'الافتراضات'!$C$25,IF(AL7=2,'الافتراضات'!$C$26,IF(AL7=3,'الافتراضات'!$C$27,INDEX('الافتراضات'!$C$28:$G$28,AL$9))))</f>
        <v/>
      </c>
      <c r="AM13" s="45">
        <f>AM8*IF(AM7=1,'الافتراضات'!$C$25,IF(AM7=2,'الافتراضات'!$C$26,IF(AM7=3,'الافتراضات'!$C$27,INDEX('الافتراضات'!$C$28:$G$28,AM$9))))</f>
        <v/>
      </c>
      <c r="AN13" s="45">
        <f>AN8*IF(AN7=1,'الافتراضات'!$C$25,IF(AN7=2,'الافتراضات'!$C$26,IF(AN7=3,'الافتراضات'!$C$27,INDEX('الافتراضات'!$C$28:$G$28,AN$9))))</f>
        <v/>
      </c>
      <c r="AO13" s="45">
        <f>AO8*IF(AO7=1,'الافتراضات'!$C$25,IF(AO7=2,'الافتراضات'!$C$26,IF(AO7=3,'الافتراضات'!$C$27,INDEX('الافتراضات'!$C$28:$G$28,AO$9))))</f>
        <v/>
      </c>
      <c r="AP13" s="45">
        <f>AP8*IF(AP7=1,'الافتراضات'!$C$25,IF(AP7=2,'الافتراضات'!$C$26,IF(AP7=3,'الافتراضات'!$C$27,INDEX('الافتراضات'!$C$28:$G$28,AP$9))))</f>
        <v/>
      </c>
      <c r="AQ13" s="45">
        <f>AQ8*IF(AQ7=1,'الافتراضات'!$C$25,IF(AQ7=2,'الافتراضات'!$C$26,IF(AQ7=3,'الافتراضات'!$C$27,INDEX('الافتراضات'!$C$28:$G$28,AQ$9))))</f>
        <v/>
      </c>
      <c r="AR13" s="45">
        <f>AR8*IF(AR7=1,'الافتراضات'!$C$25,IF(AR7=2,'الافتراضات'!$C$26,IF(AR7=3,'الافتراضات'!$C$27,INDEX('الافتراضات'!$C$28:$G$28,AR$9))))</f>
        <v/>
      </c>
      <c r="AS13" s="45">
        <f>AS8*IF(AS7=1,'الافتراضات'!$C$25,IF(AS7=2,'الافتراضات'!$C$26,IF(AS7=3,'الافتراضات'!$C$27,INDEX('الافتراضات'!$C$28:$G$28,AS$9))))</f>
        <v/>
      </c>
      <c r="AT13" s="45">
        <f>AT8*IF(AT7=1,'الافتراضات'!$C$25,IF(AT7=2,'الافتراضات'!$C$26,IF(AT7=3,'الافتراضات'!$C$27,INDEX('الافتراضات'!$C$28:$G$28,AT$9))))</f>
        <v/>
      </c>
      <c r="AU13" s="45">
        <f>AU8*IF(AU7=1,'الافتراضات'!$C$25,IF(AU7=2,'الافتراضات'!$C$26,IF(AU7=3,'الافتراضات'!$C$27,INDEX('الافتراضات'!$C$28:$G$28,AU$9))))</f>
        <v/>
      </c>
      <c r="AV13" s="45">
        <f>AV8*IF(AV7=1,'الافتراضات'!$C$25,IF(AV7=2,'الافتراضات'!$C$26,IF(AV7=3,'الافتراضات'!$C$27,INDEX('الافتراضات'!$C$28:$G$28,AV$9))))</f>
        <v/>
      </c>
      <c r="AW13" s="45">
        <f>AW8*IF(AW7=1,'الافتراضات'!$C$25,IF(AW7=2,'الافتراضات'!$C$26,IF(AW7=3,'الافتراضات'!$C$27,INDEX('الافتراضات'!$C$28:$G$28,AW$9))))</f>
        <v/>
      </c>
      <c r="AX13" s="45">
        <f>AX8*IF(AX7=1,'الافتراضات'!$C$25,IF(AX7=2,'الافتراضات'!$C$26,IF(AX7=3,'الافتراضات'!$C$27,INDEX('الافتراضات'!$C$28:$G$28,AX$9))))</f>
        <v/>
      </c>
      <c r="AY13" s="45">
        <f>AY8*IF(AY7=1,'الافتراضات'!$C$25,IF(AY7=2,'الافتراضات'!$C$26,IF(AY7=3,'الافتراضات'!$C$27,INDEX('الافتراضات'!$C$28:$G$28,AY$9))))</f>
        <v/>
      </c>
      <c r="AZ13" s="45">
        <f>AZ8*IF(AZ7=1,'الافتراضات'!$C$25,IF(AZ7=2,'الافتراضات'!$C$26,IF(AZ7=3,'الافتراضات'!$C$27,INDEX('الافتراضات'!$C$28:$G$28,AZ$9))))</f>
        <v/>
      </c>
      <c r="BA13" s="45">
        <f>BA8*IF(BA7=1,'الافتراضات'!$C$25,IF(BA7=2,'الافتراضات'!$C$26,IF(BA7=3,'الافتراضات'!$C$27,INDEX('الافتراضات'!$C$28:$G$28,BA$9))))</f>
        <v/>
      </c>
      <c r="BB13" s="45">
        <f>BB8*IF(BB7=1,'الافتراضات'!$C$25,IF(BB7=2,'الافتراضات'!$C$26,IF(BB7=3,'الافتراضات'!$C$27,INDEX('الافتراضات'!$C$28:$G$28,BB$9))))</f>
        <v/>
      </c>
      <c r="BC13" s="45">
        <f>BC8*IF(BC7=1,'الافتراضات'!$C$25,IF(BC7=2,'الافتراضات'!$C$26,IF(BC7=3,'الافتراضات'!$C$27,INDEX('الافتراضات'!$C$28:$G$28,BC$9))))</f>
        <v/>
      </c>
      <c r="BD13" s="45">
        <f>BD8*IF(BD7=1,'الافتراضات'!$C$25,IF(BD7=2,'الافتراضات'!$C$26,IF(BD7=3,'الافتراضات'!$C$27,INDEX('الافتراضات'!$C$28:$G$28,BD$9))))</f>
        <v/>
      </c>
      <c r="BE13" s="45">
        <f>BE8*IF(BE7=1,'الافتراضات'!$C$25,IF(BE7=2,'الافتراضات'!$C$26,IF(BE7=3,'الافتراضات'!$C$27,INDEX('الافتراضات'!$C$28:$G$28,BE$9))))</f>
        <v/>
      </c>
      <c r="BF13" s="45">
        <f>BF8*IF(BF7=1,'الافتراضات'!$C$25,IF(BF7=2,'الافتراضات'!$C$26,IF(BF7=3,'الافتراضات'!$C$27,INDEX('الافتراضات'!$C$28:$G$28,BF$9))))</f>
        <v/>
      </c>
      <c r="BG13" s="45">
        <f>BG8*IF(BG7=1,'الافتراضات'!$C$25,IF(BG7=2,'الافتراضات'!$C$26,IF(BG7=3,'الافتراضات'!$C$27,INDEX('الافتراضات'!$C$28:$G$28,BG$9))))</f>
        <v/>
      </c>
      <c r="BH13" s="45">
        <f>BH8*IF(BH7=1,'الافتراضات'!$C$25,IF(BH7=2,'الافتراضات'!$C$26,IF(BH7=3,'الافتراضات'!$C$27,INDEX('الافتراضات'!$C$28:$G$28,BH$9))))</f>
        <v/>
      </c>
      <c r="BI13" s="45">
        <f>BI8*IF(BI7=1,'الافتراضات'!$C$25,IF(BI7=2,'الافتراضات'!$C$26,IF(BI7=3,'الافتراضات'!$C$27,INDEX('الافتراضات'!$C$28:$G$28,BI$9))))</f>
        <v/>
      </c>
      <c r="BJ13" s="45">
        <f>BJ8*IF(BJ7=1,'الافتراضات'!$C$25,IF(BJ7=2,'الافتراضات'!$C$26,IF(BJ7=3,'الافتراضات'!$C$27,INDEX('الافتراضات'!$C$28:$G$28,BJ$9))))</f>
        <v/>
      </c>
      <c r="BK13" s="45">
        <f>BK8*IF(BK7=1,'الافتراضات'!$C$25,IF(BK7=2,'الافتراضات'!$C$26,IF(BK7=3,'الافتراضات'!$C$27,INDEX('الافتراضات'!$C$28:$G$28,BK$9))))</f>
        <v/>
      </c>
      <c r="BL13" s="45">
        <f>BL8*IF(BL7=1,'الافتراضات'!$C$25,IF(BL7=2,'الافتراضات'!$C$26,IF(BL7=3,'الافتراضات'!$C$27,INDEX('الافتراضات'!$C$28:$G$28,BL$9))))</f>
        <v/>
      </c>
      <c r="BM13" s="45">
        <f>BM8*IF(BM7=1,'الافتراضات'!$C$25,IF(BM7=2,'الافتراضات'!$C$26,IF(BM7=3,'الافتراضات'!$C$27,INDEX('الافتراضات'!$C$28:$G$28,BM$9))))</f>
        <v/>
      </c>
    </row>
    <row r="14">
      <c r="A14" s="4" t="inlineStr">
        <is>
          <t>CAC المجمّع</t>
        </is>
      </c>
      <c r="B14" s="22" t="inlineStr">
        <is>
          <t>ج.م</t>
        </is>
      </c>
      <c r="C14" s="5">
        <f>INDEX('الافتراضات'!$C$29:$G$29,C$9)*'الافتراضات'!$F$8</f>
        <v/>
      </c>
      <c r="D14" s="5">
        <f>INDEX('الافتراضات'!$C$29:$G$29,D$9)*'الافتراضات'!$F$8</f>
        <v/>
      </c>
      <c r="E14" s="5">
        <f>INDEX('الافتراضات'!$C$29:$G$29,E$9)*'الافتراضات'!$F$8</f>
        <v/>
      </c>
      <c r="F14" s="5">
        <f>INDEX('الافتراضات'!$C$29:$G$29,F$9)*'الافتراضات'!$F$8</f>
        <v/>
      </c>
      <c r="G14" s="5">
        <f>INDEX('الافتراضات'!$C$29:$G$29,G$9)*'الافتراضات'!$F$8</f>
        <v/>
      </c>
      <c r="H14" s="5">
        <f>INDEX('الافتراضات'!$C$29:$G$29,H$9)*'الافتراضات'!$F$8</f>
        <v/>
      </c>
      <c r="I14" s="5">
        <f>INDEX('الافتراضات'!$C$29:$G$29,I$9)*'الافتراضات'!$F$8</f>
        <v/>
      </c>
      <c r="J14" s="5">
        <f>INDEX('الافتراضات'!$C$29:$G$29,J$9)*'الافتراضات'!$F$8</f>
        <v/>
      </c>
      <c r="K14" s="5">
        <f>INDEX('الافتراضات'!$C$29:$G$29,K$9)*'الافتراضات'!$F$8</f>
        <v/>
      </c>
      <c r="L14" s="5">
        <f>INDEX('الافتراضات'!$C$29:$G$29,L$9)*'الافتراضات'!$F$8</f>
        <v/>
      </c>
      <c r="M14" s="5">
        <f>INDEX('الافتراضات'!$C$29:$G$29,M$9)*'الافتراضات'!$F$8</f>
        <v/>
      </c>
      <c r="N14" s="5">
        <f>INDEX('الافتراضات'!$C$29:$G$29,N$9)*'الافتراضات'!$F$8</f>
        <v/>
      </c>
      <c r="O14" s="5">
        <f>INDEX('الافتراضات'!$C$29:$G$29,O$9)*'الافتراضات'!$F$8</f>
        <v/>
      </c>
      <c r="P14" s="5">
        <f>INDEX('الافتراضات'!$C$29:$G$29,P$9)*'الافتراضات'!$F$8</f>
        <v/>
      </c>
      <c r="Q14" s="5">
        <f>INDEX('الافتراضات'!$C$29:$G$29,Q$9)*'الافتراضات'!$F$8</f>
        <v/>
      </c>
      <c r="R14" s="5">
        <f>INDEX('الافتراضات'!$C$29:$G$29,R$9)*'الافتراضات'!$F$8</f>
        <v/>
      </c>
      <c r="S14" s="5">
        <f>INDEX('الافتراضات'!$C$29:$G$29,S$9)*'الافتراضات'!$F$8</f>
        <v/>
      </c>
      <c r="T14" s="5">
        <f>INDEX('الافتراضات'!$C$29:$G$29,T$9)*'الافتراضات'!$F$8</f>
        <v/>
      </c>
      <c r="U14" s="5">
        <f>INDEX('الافتراضات'!$C$29:$G$29,U$9)*'الافتراضات'!$F$8</f>
        <v/>
      </c>
      <c r="V14" s="5">
        <f>INDEX('الافتراضات'!$C$29:$G$29,V$9)*'الافتراضات'!$F$8</f>
        <v/>
      </c>
      <c r="W14" s="5">
        <f>INDEX('الافتراضات'!$C$29:$G$29,W$9)*'الافتراضات'!$F$8</f>
        <v/>
      </c>
      <c r="X14" s="5">
        <f>INDEX('الافتراضات'!$C$29:$G$29,X$9)*'الافتراضات'!$F$8</f>
        <v/>
      </c>
      <c r="Y14" s="5">
        <f>INDEX('الافتراضات'!$C$29:$G$29,Y$9)*'الافتراضات'!$F$8</f>
        <v/>
      </c>
      <c r="Z14" s="5">
        <f>INDEX('الافتراضات'!$C$29:$G$29,Z$9)*'الافتراضات'!$F$8</f>
        <v/>
      </c>
      <c r="AA14" s="5">
        <f>INDEX('الافتراضات'!$C$29:$G$29,AA$9)*'الافتراضات'!$F$8</f>
        <v/>
      </c>
      <c r="AB14" s="5">
        <f>INDEX('الافتراضات'!$C$29:$G$29,AB$9)*'الافتراضات'!$F$8</f>
        <v/>
      </c>
      <c r="AC14" s="5">
        <f>INDEX('الافتراضات'!$C$29:$G$29,AC$9)*'الافتراضات'!$F$8</f>
        <v/>
      </c>
      <c r="AD14" s="5">
        <f>INDEX('الافتراضات'!$C$29:$G$29,AD$9)*'الافتراضات'!$F$8</f>
        <v/>
      </c>
      <c r="AE14" s="5">
        <f>INDEX('الافتراضات'!$C$29:$G$29,AE$9)*'الافتراضات'!$F$8</f>
        <v/>
      </c>
      <c r="AF14" s="5">
        <f>INDEX('الافتراضات'!$C$29:$G$29,AF$9)*'الافتراضات'!$F$8</f>
        <v/>
      </c>
      <c r="AG14" s="5">
        <f>INDEX('الافتراضات'!$C$29:$G$29,AG$9)*'الافتراضات'!$F$8</f>
        <v/>
      </c>
      <c r="AH14" s="5">
        <f>INDEX('الافتراضات'!$C$29:$G$29,AH$9)*'الافتراضات'!$F$8</f>
        <v/>
      </c>
      <c r="AI14" s="5">
        <f>INDEX('الافتراضات'!$C$29:$G$29,AI$9)*'الافتراضات'!$F$8</f>
        <v/>
      </c>
      <c r="AJ14" s="5">
        <f>INDEX('الافتراضات'!$C$29:$G$29,AJ$9)*'الافتراضات'!$F$8</f>
        <v/>
      </c>
      <c r="AK14" s="5">
        <f>INDEX('الافتراضات'!$C$29:$G$29,AK$9)*'الافتراضات'!$F$8</f>
        <v/>
      </c>
      <c r="AL14" s="5">
        <f>INDEX('الافتراضات'!$C$29:$G$29,AL$9)*'الافتراضات'!$F$8</f>
        <v/>
      </c>
      <c r="AM14" s="5">
        <f>INDEX('الافتراضات'!$C$29:$G$29,AM$9)*'الافتراضات'!$F$8</f>
        <v/>
      </c>
      <c r="AN14" s="5">
        <f>INDEX('الافتراضات'!$C$29:$G$29,AN$9)*'الافتراضات'!$F$8</f>
        <v/>
      </c>
      <c r="AO14" s="5">
        <f>INDEX('الافتراضات'!$C$29:$G$29,AO$9)*'الافتراضات'!$F$8</f>
        <v/>
      </c>
      <c r="AP14" s="5">
        <f>INDEX('الافتراضات'!$C$29:$G$29,AP$9)*'الافتراضات'!$F$8</f>
        <v/>
      </c>
      <c r="AQ14" s="5">
        <f>INDEX('الافتراضات'!$C$29:$G$29,AQ$9)*'الافتراضات'!$F$8</f>
        <v/>
      </c>
      <c r="AR14" s="5">
        <f>INDEX('الافتراضات'!$C$29:$G$29,AR$9)*'الافتراضات'!$F$8</f>
        <v/>
      </c>
      <c r="AS14" s="5">
        <f>INDEX('الافتراضات'!$C$29:$G$29,AS$9)*'الافتراضات'!$F$8</f>
        <v/>
      </c>
      <c r="AT14" s="5">
        <f>INDEX('الافتراضات'!$C$29:$G$29,AT$9)*'الافتراضات'!$F$8</f>
        <v/>
      </c>
      <c r="AU14" s="5">
        <f>INDEX('الافتراضات'!$C$29:$G$29,AU$9)*'الافتراضات'!$F$8</f>
        <v/>
      </c>
      <c r="AV14" s="5">
        <f>INDEX('الافتراضات'!$C$29:$G$29,AV$9)*'الافتراضات'!$F$8</f>
        <v/>
      </c>
      <c r="AW14" s="5">
        <f>INDEX('الافتراضات'!$C$29:$G$29,AW$9)*'الافتراضات'!$F$8</f>
        <v/>
      </c>
      <c r="AX14" s="5">
        <f>INDEX('الافتراضات'!$C$29:$G$29,AX$9)*'الافتراضات'!$F$8</f>
        <v/>
      </c>
      <c r="AY14" s="5">
        <f>INDEX('الافتراضات'!$C$29:$G$29,AY$9)*'الافتراضات'!$F$8</f>
        <v/>
      </c>
      <c r="AZ14" s="5">
        <f>INDEX('الافتراضات'!$C$29:$G$29,AZ$9)*'الافتراضات'!$F$8</f>
        <v/>
      </c>
      <c r="BA14" s="5">
        <f>INDEX('الافتراضات'!$C$29:$G$29,BA$9)*'الافتراضات'!$F$8</f>
        <v/>
      </c>
      <c r="BB14" s="5">
        <f>INDEX('الافتراضات'!$C$29:$G$29,BB$9)*'الافتراضات'!$F$8</f>
        <v/>
      </c>
      <c r="BC14" s="5">
        <f>INDEX('الافتراضات'!$C$29:$G$29,BC$9)*'الافتراضات'!$F$8</f>
        <v/>
      </c>
      <c r="BD14" s="5">
        <f>INDEX('الافتراضات'!$C$29:$G$29,BD$9)*'الافتراضات'!$F$8</f>
        <v/>
      </c>
      <c r="BE14" s="5">
        <f>INDEX('الافتراضات'!$C$29:$G$29,BE$9)*'الافتراضات'!$F$8</f>
        <v/>
      </c>
      <c r="BF14" s="5">
        <f>INDEX('الافتراضات'!$C$29:$G$29,BF$9)*'الافتراضات'!$F$8</f>
        <v/>
      </c>
      <c r="BG14" s="5">
        <f>INDEX('الافتراضات'!$C$29:$G$29,BG$9)*'الافتراضات'!$F$8</f>
        <v/>
      </c>
      <c r="BH14" s="5">
        <f>INDEX('الافتراضات'!$C$29:$G$29,BH$9)*'الافتراضات'!$F$8</f>
        <v/>
      </c>
      <c r="BI14" s="5">
        <f>INDEX('الافتراضات'!$C$29:$G$29,BI$9)*'الافتراضات'!$F$8</f>
        <v/>
      </c>
      <c r="BJ14" s="5">
        <f>INDEX('الافتراضات'!$C$29:$G$29,BJ$9)*'الافتراضات'!$F$8</f>
        <v/>
      </c>
      <c r="BK14" s="5">
        <f>INDEX('الافتراضات'!$C$29:$G$29,BK$9)*'الافتراضات'!$F$8</f>
        <v/>
      </c>
      <c r="BL14" s="5">
        <f>INDEX('الافتراضات'!$C$29:$G$29,BL$9)*'الافتراضات'!$F$8</f>
        <v/>
      </c>
      <c r="BM14" s="5">
        <f>INDEX('الافتراضات'!$C$29:$G$29,BM$9)*'الافتراضات'!$F$8</f>
        <v/>
      </c>
    </row>
    <row r="15">
      <c r="A15" s="4" t="inlineStr">
        <is>
          <t>معامل التشبع (1 = سوق مفتوح)</t>
        </is>
      </c>
      <c r="B15" s="22" t="inlineStr">
        <is>
          <t>×</t>
        </is>
      </c>
      <c r="C15" s="46">
        <f>1</f>
        <v/>
      </c>
      <c r="D15" s="46">
        <f>MAX(0,1-C22/'الافتراضات'!$C$30)</f>
        <v/>
      </c>
      <c r="E15" s="46">
        <f>MAX(0,1-D22/'الافتراضات'!$C$30)</f>
        <v/>
      </c>
      <c r="F15" s="46">
        <f>MAX(0,1-E22/'الافتراضات'!$C$30)</f>
        <v/>
      </c>
      <c r="G15" s="46">
        <f>MAX(0,1-F22/'الافتراضات'!$C$30)</f>
        <v/>
      </c>
      <c r="H15" s="46">
        <f>MAX(0,1-G22/'الافتراضات'!$C$30)</f>
        <v/>
      </c>
      <c r="I15" s="46">
        <f>MAX(0,1-H22/'الافتراضات'!$C$30)</f>
        <v/>
      </c>
      <c r="J15" s="46">
        <f>MAX(0,1-I22/'الافتراضات'!$C$30)</f>
        <v/>
      </c>
      <c r="K15" s="46">
        <f>MAX(0,1-J22/'الافتراضات'!$C$30)</f>
        <v/>
      </c>
      <c r="L15" s="46">
        <f>MAX(0,1-K22/'الافتراضات'!$C$30)</f>
        <v/>
      </c>
      <c r="M15" s="46">
        <f>MAX(0,1-L22/'الافتراضات'!$C$30)</f>
        <v/>
      </c>
      <c r="N15" s="46">
        <f>MAX(0,1-M22/'الافتراضات'!$C$30)</f>
        <v/>
      </c>
      <c r="O15" s="46">
        <f>MAX(0,1-N22/'الافتراضات'!$C$30)</f>
        <v/>
      </c>
      <c r="P15" s="46">
        <f>MAX(0,1-O22/'الافتراضات'!$C$30)</f>
        <v/>
      </c>
      <c r="Q15" s="46">
        <f>MAX(0,1-P22/'الافتراضات'!$C$30)</f>
        <v/>
      </c>
      <c r="R15" s="46">
        <f>MAX(0,1-Q22/'الافتراضات'!$C$30)</f>
        <v/>
      </c>
      <c r="S15" s="46">
        <f>MAX(0,1-R22/'الافتراضات'!$C$30)</f>
        <v/>
      </c>
      <c r="T15" s="46">
        <f>MAX(0,1-S22/'الافتراضات'!$C$30)</f>
        <v/>
      </c>
      <c r="U15" s="46">
        <f>MAX(0,1-T22/'الافتراضات'!$C$30)</f>
        <v/>
      </c>
      <c r="V15" s="46">
        <f>MAX(0,1-U22/'الافتراضات'!$C$30)</f>
        <v/>
      </c>
      <c r="W15" s="46">
        <f>MAX(0,1-V22/'الافتراضات'!$C$30)</f>
        <v/>
      </c>
      <c r="X15" s="46">
        <f>MAX(0,1-W22/'الافتراضات'!$C$30)</f>
        <v/>
      </c>
      <c r="Y15" s="46">
        <f>MAX(0,1-X22/'الافتراضات'!$C$30)</f>
        <v/>
      </c>
      <c r="Z15" s="46">
        <f>MAX(0,1-Y22/'الافتراضات'!$C$30)</f>
        <v/>
      </c>
      <c r="AA15" s="46">
        <f>MAX(0,1-Z22/'الافتراضات'!$C$30)</f>
        <v/>
      </c>
      <c r="AB15" s="46">
        <f>MAX(0,1-AA22/'الافتراضات'!$C$30)</f>
        <v/>
      </c>
      <c r="AC15" s="46">
        <f>MAX(0,1-AB22/'الافتراضات'!$C$30)</f>
        <v/>
      </c>
      <c r="AD15" s="46">
        <f>MAX(0,1-AC22/'الافتراضات'!$C$30)</f>
        <v/>
      </c>
      <c r="AE15" s="46">
        <f>MAX(0,1-AD22/'الافتراضات'!$C$30)</f>
        <v/>
      </c>
      <c r="AF15" s="46">
        <f>MAX(0,1-AE22/'الافتراضات'!$C$30)</f>
        <v/>
      </c>
      <c r="AG15" s="46">
        <f>MAX(0,1-AF22/'الافتراضات'!$C$30)</f>
        <v/>
      </c>
      <c r="AH15" s="46">
        <f>MAX(0,1-AG22/'الافتراضات'!$C$30)</f>
        <v/>
      </c>
      <c r="AI15" s="46">
        <f>MAX(0,1-AH22/'الافتراضات'!$C$30)</f>
        <v/>
      </c>
      <c r="AJ15" s="46">
        <f>MAX(0,1-AI22/'الافتراضات'!$C$30)</f>
        <v/>
      </c>
      <c r="AK15" s="46">
        <f>MAX(0,1-AJ22/'الافتراضات'!$C$30)</f>
        <v/>
      </c>
      <c r="AL15" s="46">
        <f>MAX(0,1-AK22/'الافتراضات'!$C$30)</f>
        <v/>
      </c>
      <c r="AM15" s="46">
        <f>MAX(0,1-AL22/'الافتراضات'!$C$30)</f>
        <v/>
      </c>
      <c r="AN15" s="46">
        <f>MAX(0,1-AM22/'الافتراضات'!$C$30)</f>
        <v/>
      </c>
      <c r="AO15" s="46">
        <f>MAX(0,1-AN22/'الافتراضات'!$C$30)</f>
        <v/>
      </c>
      <c r="AP15" s="46">
        <f>MAX(0,1-AO22/'الافتراضات'!$C$30)</f>
        <v/>
      </c>
      <c r="AQ15" s="46">
        <f>MAX(0,1-AP22/'الافتراضات'!$C$30)</f>
        <v/>
      </c>
      <c r="AR15" s="46">
        <f>MAX(0,1-AQ22/'الافتراضات'!$C$30)</f>
        <v/>
      </c>
      <c r="AS15" s="46">
        <f>MAX(0,1-AR22/'الافتراضات'!$C$30)</f>
        <v/>
      </c>
      <c r="AT15" s="46">
        <f>MAX(0,1-AS22/'الافتراضات'!$C$30)</f>
        <v/>
      </c>
      <c r="AU15" s="46">
        <f>MAX(0,1-AT22/'الافتراضات'!$C$30)</f>
        <v/>
      </c>
      <c r="AV15" s="46">
        <f>MAX(0,1-AU22/'الافتراضات'!$C$30)</f>
        <v/>
      </c>
      <c r="AW15" s="46">
        <f>MAX(0,1-AV22/'الافتراضات'!$C$30)</f>
        <v/>
      </c>
      <c r="AX15" s="46">
        <f>MAX(0,1-AW22/'الافتراضات'!$C$30)</f>
        <v/>
      </c>
      <c r="AY15" s="46">
        <f>MAX(0,1-AX22/'الافتراضات'!$C$30)</f>
        <v/>
      </c>
      <c r="AZ15" s="46">
        <f>MAX(0,1-AY22/'الافتراضات'!$C$30)</f>
        <v/>
      </c>
      <c r="BA15" s="46">
        <f>MAX(0,1-AZ22/'الافتراضات'!$C$30)</f>
        <v/>
      </c>
      <c r="BB15" s="46">
        <f>MAX(0,1-BA22/'الافتراضات'!$C$30)</f>
        <v/>
      </c>
      <c r="BC15" s="46">
        <f>MAX(0,1-BB22/'الافتراضات'!$C$30)</f>
        <v/>
      </c>
      <c r="BD15" s="46">
        <f>MAX(0,1-BC22/'الافتراضات'!$C$30)</f>
        <v/>
      </c>
      <c r="BE15" s="46">
        <f>MAX(0,1-BD22/'الافتراضات'!$C$30)</f>
        <v/>
      </c>
      <c r="BF15" s="46">
        <f>MAX(0,1-BE22/'الافتراضات'!$C$30)</f>
        <v/>
      </c>
      <c r="BG15" s="46">
        <f>MAX(0,1-BF22/'الافتراضات'!$C$30)</f>
        <v/>
      </c>
      <c r="BH15" s="46">
        <f>MAX(0,1-BG22/'الافتراضات'!$C$30)</f>
        <v/>
      </c>
      <c r="BI15" s="46">
        <f>MAX(0,1-BH22/'الافتراضات'!$C$30)</f>
        <v/>
      </c>
      <c r="BJ15" s="46">
        <f>MAX(0,1-BI22/'الافتراضات'!$C$30)</f>
        <v/>
      </c>
      <c r="BK15" s="46">
        <f>MAX(0,1-BJ22/'الافتراضات'!$C$30)</f>
        <v/>
      </c>
      <c r="BL15" s="46">
        <f>MAX(0,1-BK22/'الافتراضات'!$C$30)</f>
        <v/>
      </c>
      <c r="BM15" s="46">
        <f>MAX(0,1-BL22/'الافتراضات'!$C$30)</f>
        <v/>
      </c>
    </row>
    <row r="16">
      <c r="A16" s="4" t="inlineStr">
        <is>
          <t>العملاء الجدد — مدفوع</t>
        </is>
      </c>
      <c r="B16" s="22" t="inlineStr">
        <is>
          <t>#</t>
        </is>
      </c>
      <c r="C16" s="45">
        <f>IF(C14&gt;0,C13/C14*C15,0)</f>
        <v/>
      </c>
      <c r="D16" s="45">
        <f>IF(D14&gt;0,D13/D14*D15,0)</f>
        <v/>
      </c>
      <c r="E16" s="45">
        <f>IF(E14&gt;0,E13/E14*E15,0)</f>
        <v/>
      </c>
      <c r="F16" s="45">
        <f>IF(F14&gt;0,F13/F14*F15,0)</f>
        <v/>
      </c>
      <c r="G16" s="45">
        <f>IF(G14&gt;0,G13/G14*G15,0)</f>
        <v/>
      </c>
      <c r="H16" s="45">
        <f>IF(H14&gt;0,H13/H14*H15,0)</f>
        <v/>
      </c>
      <c r="I16" s="45">
        <f>IF(I14&gt;0,I13/I14*I15,0)</f>
        <v/>
      </c>
      <c r="J16" s="45">
        <f>IF(J14&gt;0,J13/J14*J15,0)</f>
        <v/>
      </c>
      <c r="K16" s="45">
        <f>IF(K14&gt;0,K13/K14*K15,0)</f>
        <v/>
      </c>
      <c r="L16" s="45">
        <f>IF(L14&gt;0,L13/L14*L15,0)</f>
        <v/>
      </c>
      <c r="M16" s="45">
        <f>IF(M14&gt;0,M13/M14*M15,0)</f>
        <v/>
      </c>
      <c r="N16" s="45">
        <f>IF(N14&gt;0,N13/N14*N15,0)</f>
        <v/>
      </c>
      <c r="O16" s="45">
        <f>IF(O14&gt;0,O13/O14*O15,0)</f>
        <v/>
      </c>
      <c r="P16" s="45">
        <f>IF(P14&gt;0,P13/P14*P15,0)</f>
        <v/>
      </c>
      <c r="Q16" s="45">
        <f>IF(Q14&gt;0,Q13/Q14*Q15,0)</f>
        <v/>
      </c>
      <c r="R16" s="45">
        <f>IF(R14&gt;0,R13/R14*R15,0)</f>
        <v/>
      </c>
      <c r="S16" s="45">
        <f>IF(S14&gt;0,S13/S14*S15,0)</f>
        <v/>
      </c>
      <c r="T16" s="45">
        <f>IF(T14&gt;0,T13/T14*T15,0)</f>
        <v/>
      </c>
      <c r="U16" s="45">
        <f>IF(U14&gt;0,U13/U14*U15,0)</f>
        <v/>
      </c>
      <c r="V16" s="45">
        <f>IF(V14&gt;0,V13/V14*V15,0)</f>
        <v/>
      </c>
      <c r="W16" s="45">
        <f>IF(W14&gt;0,W13/W14*W15,0)</f>
        <v/>
      </c>
      <c r="X16" s="45">
        <f>IF(X14&gt;0,X13/X14*X15,0)</f>
        <v/>
      </c>
      <c r="Y16" s="45">
        <f>IF(Y14&gt;0,Y13/Y14*Y15,0)</f>
        <v/>
      </c>
      <c r="Z16" s="45">
        <f>IF(Z14&gt;0,Z13/Z14*Z15,0)</f>
        <v/>
      </c>
      <c r="AA16" s="45">
        <f>IF(AA14&gt;0,AA13/AA14*AA15,0)</f>
        <v/>
      </c>
      <c r="AB16" s="45">
        <f>IF(AB14&gt;0,AB13/AB14*AB15,0)</f>
        <v/>
      </c>
      <c r="AC16" s="45">
        <f>IF(AC14&gt;0,AC13/AC14*AC15,0)</f>
        <v/>
      </c>
      <c r="AD16" s="45">
        <f>IF(AD14&gt;0,AD13/AD14*AD15,0)</f>
        <v/>
      </c>
      <c r="AE16" s="45">
        <f>IF(AE14&gt;0,AE13/AE14*AE15,0)</f>
        <v/>
      </c>
      <c r="AF16" s="45">
        <f>IF(AF14&gt;0,AF13/AF14*AF15,0)</f>
        <v/>
      </c>
      <c r="AG16" s="45">
        <f>IF(AG14&gt;0,AG13/AG14*AG15,0)</f>
        <v/>
      </c>
      <c r="AH16" s="45">
        <f>IF(AH14&gt;0,AH13/AH14*AH15,0)</f>
        <v/>
      </c>
      <c r="AI16" s="45">
        <f>IF(AI14&gt;0,AI13/AI14*AI15,0)</f>
        <v/>
      </c>
      <c r="AJ16" s="45">
        <f>IF(AJ14&gt;0,AJ13/AJ14*AJ15,0)</f>
        <v/>
      </c>
      <c r="AK16" s="45">
        <f>IF(AK14&gt;0,AK13/AK14*AK15,0)</f>
        <v/>
      </c>
      <c r="AL16" s="45">
        <f>IF(AL14&gt;0,AL13/AL14*AL15,0)</f>
        <v/>
      </c>
      <c r="AM16" s="45">
        <f>IF(AM14&gt;0,AM13/AM14*AM15,0)</f>
        <v/>
      </c>
      <c r="AN16" s="45">
        <f>IF(AN14&gt;0,AN13/AN14*AN15,0)</f>
        <v/>
      </c>
      <c r="AO16" s="45">
        <f>IF(AO14&gt;0,AO13/AO14*AO15,0)</f>
        <v/>
      </c>
      <c r="AP16" s="45">
        <f>IF(AP14&gt;0,AP13/AP14*AP15,0)</f>
        <v/>
      </c>
      <c r="AQ16" s="45">
        <f>IF(AQ14&gt;0,AQ13/AQ14*AQ15,0)</f>
        <v/>
      </c>
      <c r="AR16" s="45">
        <f>IF(AR14&gt;0,AR13/AR14*AR15,0)</f>
        <v/>
      </c>
      <c r="AS16" s="45">
        <f>IF(AS14&gt;0,AS13/AS14*AS15,0)</f>
        <v/>
      </c>
      <c r="AT16" s="45">
        <f>IF(AT14&gt;0,AT13/AT14*AT15,0)</f>
        <v/>
      </c>
      <c r="AU16" s="45">
        <f>IF(AU14&gt;0,AU13/AU14*AU15,0)</f>
        <v/>
      </c>
      <c r="AV16" s="45">
        <f>IF(AV14&gt;0,AV13/AV14*AV15,0)</f>
        <v/>
      </c>
      <c r="AW16" s="45">
        <f>IF(AW14&gt;0,AW13/AW14*AW15,0)</f>
        <v/>
      </c>
      <c r="AX16" s="45">
        <f>IF(AX14&gt;0,AX13/AX14*AX15,0)</f>
        <v/>
      </c>
      <c r="AY16" s="45">
        <f>IF(AY14&gt;0,AY13/AY14*AY15,0)</f>
        <v/>
      </c>
      <c r="AZ16" s="45">
        <f>IF(AZ14&gt;0,AZ13/AZ14*AZ15,0)</f>
        <v/>
      </c>
      <c r="BA16" s="45">
        <f>IF(BA14&gt;0,BA13/BA14*BA15,0)</f>
        <v/>
      </c>
      <c r="BB16" s="45">
        <f>IF(BB14&gt;0,BB13/BB14*BB15,0)</f>
        <v/>
      </c>
      <c r="BC16" s="45">
        <f>IF(BC14&gt;0,BC13/BC14*BC15,0)</f>
        <v/>
      </c>
      <c r="BD16" s="45">
        <f>IF(BD14&gt;0,BD13/BD14*BD15,0)</f>
        <v/>
      </c>
      <c r="BE16" s="45">
        <f>IF(BE14&gt;0,BE13/BE14*BE15,0)</f>
        <v/>
      </c>
      <c r="BF16" s="45">
        <f>IF(BF14&gt;0,BF13/BF14*BF15,0)</f>
        <v/>
      </c>
      <c r="BG16" s="45">
        <f>IF(BG14&gt;0,BG13/BG14*BG15,0)</f>
        <v/>
      </c>
      <c r="BH16" s="45">
        <f>IF(BH14&gt;0,BH13/BH14*BH15,0)</f>
        <v/>
      </c>
      <c r="BI16" s="45">
        <f>IF(BI14&gt;0,BI13/BI14*BI15,0)</f>
        <v/>
      </c>
      <c r="BJ16" s="45">
        <f>IF(BJ14&gt;0,BJ13/BJ14*BJ15,0)</f>
        <v/>
      </c>
      <c r="BK16" s="45">
        <f>IF(BK14&gt;0,BK13/BK14*BK15,0)</f>
        <v/>
      </c>
      <c r="BL16" s="45">
        <f>IF(BL14&gt;0,BL13/BL14*BL15,0)</f>
        <v/>
      </c>
      <c r="BM16" s="45">
        <f>IF(BM14&gt;0,BM13/BM14*BM15,0)</f>
        <v/>
      </c>
    </row>
    <row r="17">
      <c r="A17" s="4" t="inlineStr">
        <is>
          <t>العملاء الجدد — عضوي وإحالة</t>
        </is>
      </c>
      <c r="B17" s="22" t="inlineStr">
        <is>
          <t>#</t>
        </is>
      </c>
      <c r="C17" s="45">
        <f>C16*INDEX('الافتراضات'!$C$31:$G$31,C$9)</f>
        <v/>
      </c>
      <c r="D17" s="45">
        <f>D16*INDEX('الافتراضات'!$C$31:$G$31,D$9)</f>
        <v/>
      </c>
      <c r="E17" s="45">
        <f>E16*INDEX('الافتراضات'!$C$31:$G$31,E$9)</f>
        <v/>
      </c>
      <c r="F17" s="45">
        <f>F16*INDEX('الافتراضات'!$C$31:$G$31,F$9)</f>
        <v/>
      </c>
      <c r="G17" s="45">
        <f>G16*INDEX('الافتراضات'!$C$31:$G$31,G$9)</f>
        <v/>
      </c>
      <c r="H17" s="45">
        <f>H16*INDEX('الافتراضات'!$C$31:$G$31,H$9)</f>
        <v/>
      </c>
      <c r="I17" s="45">
        <f>I16*INDEX('الافتراضات'!$C$31:$G$31,I$9)</f>
        <v/>
      </c>
      <c r="J17" s="45">
        <f>J16*INDEX('الافتراضات'!$C$31:$G$31,J$9)</f>
        <v/>
      </c>
      <c r="K17" s="45">
        <f>K16*INDEX('الافتراضات'!$C$31:$G$31,K$9)</f>
        <v/>
      </c>
      <c r="L17" s="45">
        <f>L16*INDEX('الافتراضات'!$C$31:$G$31,L$9)</f>
        <v/>
      </c>
      <c r="M17" s="45">
        <f>M16*INDEX('الافتراضات'!$C$31:$G$31,M$9)</f>
        <v/>
      </c>
      <c r="N17" s="45">
        <f>N16*INDEX('الافتراضات'!$C$31:$G$31,N$9)</f>
        <v/>
      </c>
      <c r="O17" s="45">
        <f>O16*INDEX('الافتراضات'!$C$31:$G$31,O$9)</f>
        <v/>
      </c>
      <c r="P17" s="45">
        <f>P16*INDEX('الافتراضات'!$C$31:$G$31,P$9)</f>
        <v/>
      </c>
      <c r="Q17" s="45">
        <f>Q16*INDEX('الافتراضات'!$C$31:$G$31,Q$9)</f>
        <v/>
      </c>
      <c r="R17" s="45">
        <f>R16*INDEX('الافتراضات'!$C$31:$G$31,R$9)</f>
        <v/>
      </c>
      <c r="S17" s="45">
        <f>S16*INDEX('الافتراضات'!$C$31:$G$31,S$9)</f>
        <v/>
      </c>
      <c r="T17" s="45">
        <f>T16*INDEX('الافتراضات'!$C$31:$G$31,T$9)</f>
        <v/>
      </c>
      <c r="U17" s="45">
        <f>U16*INDEX('الافتراضات'!$C$31:$G$31,U$9)</f>
        <v/>
      </c>
      <c r="V17" s="45">
        <f>V16*INDEX('الافتراضات'!$C$31:$G$31,V$9)</f>
        <v/>
      </c>
      <c r="W17" s="45">
        <f>W16*INDEX('الافتراضات'!$C$31:$G$31,W$9)</f>
        <v/>
      </c>
      <c r="X17" s="45">
        <f>X16*INDEX('الافتراضات'!$C$31:$G$31,X$9)</f>
        <v/>
      </c>
      <c r="Y17" s="45">
        <f>Y16*INDEX('الافتراضات'!$C$31:$G$31,Y$9)</f>
        <v/>
      </c>
      <c r="Z17" s="45">
        <f>Z16*INDEX('الافتراضات'!$C$31:$G$31,Z$9)</f>
        <v/>
      </c>
      <c r="AA17" s="45">
        <f>AA16*INDEX('الافتراضات'!$C$31:$G$31,AA$9)</f>
        <v/>
      </c>
      <c r="AB17" s="45">
        <f>AB16*INDEX('الافتراضات'!$C$31:$G$31,AB$9)</f>
        <v/>
      </c>
      <c r="AC17" s="45">
        <f>AC16*INDEX('الافتراضات'!$C$31:$G$31,AC$9)</f>
        <v/>
      </c>
      <c r="AD17" s="45">
        <f>AD16*INDEX('الافتراضات'!$C$31:$G$31,AD$9)</f>
        <v/>
      </c>
      <c r="AE17" s="45">
        <f>AE16*INDEX('الافتراضات'!$C$31:$G$31,AE$9)</f>
        <v/>
      </c>
      <c r="AF17" s="45">
        <f>AF16*INDEX('الافتراضات'!$C$31:$G$31,AF$9)</f>
        <v/>
      </c>
      <c r="AG17" s="45">
        <f>AG16*INDEX('الافتراضات'!$C$31:$G$31,AG$9)</f>
        <v/>
      </c>
      <c r="AH17" s="45">
        <f>AH16*INDEX('الافتراضات'!$C$31:$G$31,AH$9)</f>
        <v/>
      </c>
      <c r="AI17" s="45">
        <f>AI16*INDEX('الافتراضات'!$C$31:$G$31,AI$9)</f>
        <v/>
      </c>
      <c r="AJ17" s="45">
        <f>AJ16*INDEX('الافتراضات'!$C$31:$G$31,AJ$9)</f>
        <v/>
      </c>
      <c r="AK17" s="45">
        <f>AK16*INDEX('الافتراضات'!$C$31:$G$31,AK$9)</f>
        <v/>
      </c>
      <c r="AL17" s="45">
        <f>AL16*INDEX('الافتراضات'!$C$31:$G$31,AL$9)</f>
        <v/>
      </c>
      <c r="AM17" s="45">
        <f>AM16*INDEX('الافتراضات'!$C$31:$G$31,AM$9)</f>
        <v/>
      </c>
      <c r="AN17" s="45">
        <f>AN16*INDEX('الافتراضات'!$C$31:$G$31,AN$9)</f>
        <v/>
      </c>
      <c r="AO17" s="45">
        <f>AO16*INDEX('الافتراضات'!$C$31:$G$31,AO$9)</f>
        <v/>
      </c>
      <c r="AP17" s="45">
        <f>AP16*INDEX('الافتراضات'!$C$31:$G$31,AP$9)</f>
        <v/>
      </c>
      <c r="AQ17" s="45">
        <f>AQ16*INDEX('الافتراضات'!$C$31:$G$31,AQ$9)</f>
        <v/>
      </c>
      <c r="AR17" s="45">
        <f>AR16*INDEX('الافتراضات'!$C$31:$G$31,AR$9)</f>
        <v/>
      </c>
      <c r="AS17" s="45">
        <f>AS16*INDEX('الافتراضات'!$C$31:$G$31,AS$9)</f>
        <v/>
      </c>
      <c r="AT17" s="45">
        <f>AT16*INDEX('الافتراضات'!$C$31:$G$31,AT$9)</f>
        <v/>
      </c>
      <c r="AU17" s="45">
        <f>AU16*INDEX('الافتراضات'!$C$31:$G$31,AU$9)</f>
        <v/>
      </c>
      <c r="AV17" s="45">
        <f>AV16*INDEX('الافتراضات'!$C$31:$G$31,AV$9)</f>
        <v/>
      </c>
      <c r="AW17" s="45">
        <f>AW16*INDEX('الافتراضات'!$C$31:$G$31,AW$9)</f>
        <v/>
      </c>
      <c r="AX17" s="45">
        <f>AX16*INDEX('الافتراضات'!$C$31:$G$31,AX$9)</f>
        <v/>
      </c>
      <c r="AY17" s="45">
        <f>AY16*INDEX('الافتراضات'!$C$31:$G$31,AY$9)</f>
        <v/>
      </c>
      <c r="AZ17" s="45">
        <f>AZ16*INDEX('الافتراضات'!$C$31:$G$31,AZ$9)</f>
        <v/>
      </c>
      <c r="BA17" s="45">
        <f>BA16*INDEX('الافتراضات'!$C$31:$G$31,BA$9)</f>
        <v/>
      </c>
      <c r="BB17" s="45">
        <f>BB16*INDEX('الافتراضات'!$C$31:$G$31,BB$9)</f>
        <v/>
      </c>
      <c r="BC17" s="45">
        <f>BC16*INDEX('الافتراضات'!$C$31:$G$31,BC$9)</f>
        <v/>
      </c>
      <c r="BD17" s="45">
        <f>BD16*INDEX('الافتراضات'!$C$31:$G$31,BD$9)</f>
        <v/>
      </c>
      <c r="BE17" s="45">
        <f>BE16*INDEX('الافتراضات'!$C$31:$G$31,BE$9)</f>
        <v/>
      </c>
      <c r="BF17" s="45">
        <f>BF16*INDEX('الافتراضات'!$C$31:$G$31,BF$9)</f>
        <v/>
      </c>
      <c r="BG17" s="45">
        <f>BG16*INDEX('الافتراضات'!$C$31:$G$31,BG$9)</f>
        <v/>
      </c>
      <c r="BH17" s="45">
        <f>BH16*INDEX('الافتراضات'!$C$31:$G$31,BH$9)</f>
        <v/>
      </c>
      <c r="BI17" s="45">
        <f>BI16*INDEX('الافتراضات'!$C$31:$G$31,BI$9)</f>
        <v/>
      </c>
      <c r="BJ17" s="45">
        <f>BJ16*INDEX('الافتراضات'!$C$31:$G$31,BJ$9)</f>
        <v/>
      </c>
      <c r="BK17" s="45">
        <f>BK16*INDEX('الافتراضات'!$C$31:$G$31,BK$9)</f>
        <v/>
      </c>
      <c r="BL17" s="45">
        <f>BL16*INDEX('الافتراضات'!$C$31:$G$31,BL$9)</f>
        <v/>
      </c>
      <c r="BM17" s="45">
        <f>BM16*INDEX('الافتراضات'!$C$31:$G$31,BM$9)</f>
        <v/>
      </c>
    </row>
    <row r="18">
      <c r="A18" s="15" t="inlineStr">
        <is>
          <t>العملاء الجدد — الإجمالي</t>
        </is>
      </c>
      <c r="B18" s="22" t="inlineStr">
        <is>
          <t>#</t>
        </is>
      </c>
      <c r="C18" s="45">
        <f>C16+C17</f>
        <v/>
      </c>
      <c r="D18" s="45">
        <f>D16+D17</f>
        <v/>
      </c>
      <c r="E18" s="45">
        <f>E16+E17</f>
        <v/>
      </c>
      <c r="F18" s="45">
        <f>F16+F17</f>
        <v/>
      </c>
      <c r="G18" s="45">
        <f>G16+G17</f>
        <v/>
      </c>
      <c r="H18" s="45">
        <f>H16+H17</f>
        <v/>
      </c>
      <c r="I18" s="45">
        <f>I16+I17</f>
        <v/>
      </c>
      <c r="J18" s="45">
        <f>J16+J17</f>
        <v/>
      </c>
      <c r="K18" s="45">
        <f>K16+K17</f>
        <v/>
      </c>
      <c r="L18" s="45">
        <f>L16+L17</f>
        <v/>
      </c>
      <c r="M18" s="45">
        <f>M16+M17</f>
        <v/>
      </c>
      <c r="N18" s="45">
        <f>N16+N17</f>
        <v/>
      </c>
      <c r="O18" s="45">
        <f>O16+O17</f>
        <v/>
      </c>
      <c r="P18" s="45">
        <f>P16+P17</f>
        <v/>
      </c>
      <c r="Q18" s="45">
        <f>Q16+Q17</f>
        <v/>
      </c>
      <c r="R18" s="45">
        <f>R16+R17</f>
        <v/>
      </c>
      <c r="S18" s="45">
        <f>S16+S17</f>
        <v/>
      </c>
      <c r="T18" s="45">
        <f>T16+T17</f>
        <v/>
      </c>
      <c r="U18" s="45">
        <f>U16+U17</f>
        <v/>
      </c>
      <c r="V18" s="45">
        <f>V16+V17</f>
        <v/>
      </c>
      <c r="W18" s="45">
        <f>W16+W17</f>
        <v/>
      </c>
      <c r="X18" s="45">
        <f>X16+X17</f>
        <v/>
      </c>
      <c r="Y18" s="45">
        <f>Y16+Y17</f>
        <v/>
      </c>
      <c r="Z18" s="45">
        <f>Z16+Z17</f>
        <v/>
      </c>
      <c r="AA18" s="45">
        <f>AA16+AA17</f>
        <v/>
      </c>
      <c r="AB18" s="45">
        <f>AB16+AB17</f>
        <v/>
      </c>
      <c r="AC18" s="45">
        <f>AC16+AC17</f>
        <v/>
      </c>
      <c r="AD18" s="45">
        <f>AD16+AD17</f>
        <v/>
      </c>
      <c r="AE18" s="45">
        <f>AE16+AE17</f>
        <v/>
      </c>
      <c r="AF18" s="45">
        <f>AF16+AF17</f>
        <v/>
      </c>
      <c r="AG18" s="45">
        <f>AG16+AG17</f>
        <v/>
      </c>
      <c r="AH18" s="45">
        <f>AH16+AH17</f>
        <v/>
      </c>
      <c r="AI18" s="45">
        <f>AI16+AI17</f>
        <v/>
      </c>
      <c r="AJ18" s="45">
        <f>AJ16+AJ17</f>
        <v/>
      </c>
      <c r="AK18" s="45">
        <f>AK16+AK17</f>
        <v/>
      </c>
      <c r="AL18" s="45">
        <f>AL16+AL17</f>
        <v/>
      </c>
      <c r="AM18" s="45">
        <f>AM16+AM17</f>
        <v/>
      </c>
      <c r="AN18" s="45">
        <f>AN16+AN17</f>
        <v/>
      </c>
      <c r="AO18" s="45">
        <f>AO16+AO17</f>
        <v/>
      </c>
      <c r="AP18" s="45">
        <f>AP16+AP17</f>
        <v/>
      </c>
      <c r="AQ18" s="45">
        <f>AQ16+AQ17</f>
        <v/>
      </c>
      <c r="AR18" s="45">
        <f>AR16+AR17</f>
        <v/>
      </c>
      <c r="AS18" s="45">
        <f>AS16+AS17</f>
        <v/>
      </c>
      <c r="AT18" s="45">
        <f>AT16+AT17</f>
        <v/>
      </c>
      <c r="AU18" s="45">
        <f>AU16+AU17</f>
        <v/>
      </c>
      <c r="AV18" s="45">
        <f>AV16+AV17</f>
        <v/>
      </c>
      <c r="AW18" s="45">
        <f>AW16+AW17</f>
        <v/>
      </c>
      <c r="AX18" s="45">
        <f>AX16+AX17</f>
        <v/>
      </c>
      <c r="AY18" s="45">
        <f>AY16+AY17</f>
        <v/>
      </c>
      <c r="AZ18" s="45">
        <f>AZ16+AZ17</f>
        <v/>
      </c>
      <c r="BA18" s="45">
        <f>BA16+BA17</f>
        <v/>
      </c>
      <c r="BB18" s="45">
        <f>BB16+BB17</f>
        <v/>
      </c>
      <c r="BC18" s="45">
        <f>BC16+BC17</f>
        <v/>
      </c>
      <c r="BD18" s="45">
        <f>BD16+BD17</f>
        <v/>
      </c>
      <c r="BE18" s="45">
        <f>BE16+BE17</f>
        <v/>
      </c>
      <c r="BF18" s="45">
        <f>BF16+BF17</f>
        <v/>
      </c>
      <c r="BG18" s="45">
        <f>BG16+BG17</f>
        <v/>
      </c>
      <c r="BH18" s="45">
        <f>BH16+BH17</f>
        <v/>
      </c>
      <c r="BI18" s="45">
        <f>BI16+BI17</f>
        <v/>
      </c>
      <c r="BJ18" s="45">
        <f>BJ16+BJ17</f>
        <v/>
      </c>
      <c r="BK18" s="45">
        <f>BK16+BK17</f>
        <v/>
      </c>
      <c r="BL18" s="45">
        <f>BL16+BL17</f>
        <v/>
      </c>
      <c r="BM18" s="45">
        <f>BM16+BM17</f>
        <v/>
      </c>
    </row>
    <row r="19">
      <c r="A19" s="4" t="inlineStr">
        <is>
          <t>الاحتفاظ الشهري</t>
        </is>
      </c>
      <c r="B19" s="22" t="inlineStr">
        <is>
          <t>%</t>
        </is>
      </c>
      <c r="C19" s="9">
        <f>MIN(0.95,INDEX('الافتراضات'!$C$32:$G$32,C$9)+'الافتراضات'!$F$9)</f>
        <v/>
      </c>
      <c r="D19" s="9">
        <f>MIN(0.95,INDEX('الافتراضات'!$C$32:$G$32,D$9)+'الافتراضات'!$F$9)</f>
        <v/>
      </c>
      <c r="E19" s="9">
        <f>MIN(0.95,INDEX('الافتراضات'!$C$32:$G$32,E$9)+'الافتراضات'!$F$9)</f>
        <v/>
      </c>
      <c r="F19" s="9">
        <f>MIN(0.95,INDEX('الافتراضات'!$C$32:$G$32,F$9)+'الافتراضات'!$F$9)</f>
        <v/>
      </c>
      <c r="G19" s="9">
        <f>MIN(0.95,INDEX('الافتراضات'!$C$32:$G$32,G$9)+'الافتراضات'!$F$9)</f>
        <v/>
      </c>
      <c r="H19" s="9">
        <f>MIN(0.95,INDEX('الافتراضات'!$C$32:$G$32,H$9)+'الافتراضات'!$F$9)</f>
        <v/>
      </c>
      <c r="I19" s="9">
        <f>MIN(0.95,INDEX('الافتراضات'!$C$32:$G$32,I$9)+'الافتراضات'!$F$9)</f>
        <v/>
      </c>
      <c r="J19" s="9">
        <f>MIN(0.95,INDEX('الافتراضات'!$C$32:$G$32,J$9)+'الافتراضات'!$F$9)</f>
        <v/>
      </c>
      <c r="K19" s="9">
        <f>MIN(0.95,INDEX('الافتراضات'!$C$32:$G$32,K$9)+'الافتراضات'!$F$9)</f>
        <v/>
      </c>
      <c r="L19" s="9">
        <f>MIN(0.95,INDEX('الافتراضات'!$C$32:$G$32,L$9)+'الافتراضات'!$F$9)</f>
        <v/>
      </c>
      <c r="M19" s="9">
        <f>MIN(0.95,INDEX('الافتراضات'!$C$32:$G$32,M$9)+'الافتراضات'!$F$9)</f>
        <v/>
      </c>
      <c r="N19" s="9">
        <f>MIN(0.95,INDEX('الافتراضات'!$C$32:$G$32,N$9)+'الافتراضات'!$F$9)</f>
        <v/>
      </c>
      <c r="O19" s="9">
        <f>MIN(0.95,INDEX('الافتراضات'!$C$32:$G$32,O$9)+'الافتراضات'!$F$9)</f>
        <v/>
      </c>
      <c r="P19" s="9">
        <f>MIN(0.95,INDEX('الافتراضات'!$C$32:$G$32,P$9)+'الافتراضات'!$F$9)</f>
        <v/>
      </c>
      <c r="Q19" s="9">
        <f>MIN(0.95,INDEX('الافتراضات'!$C$32:$G$32,Q$9)+'الافتراضات'!$F$9)</f>
        <v/>
      </c>
      <c r="R19" s="9">
        <f>MIN(0.95,INDEX('الافتراضات'!$C$32:$G$32,R$9)+'الافتراضات'!$F$9)</f>
        <v/>
      </c>
      <c r="S19" s="9">
        <f>MIN(0.95,INDEX('الافتراضات'!$C$32:$G$32,S$9)+'الافتراضات'!$F$9)</f>
        <v/>
      </c>
      <c r="T19" s="9">
        <f>MIN(0.95,INDEX('الافتراضات'!$C$32:$G$32,T$9)+'الافتراضات'!$F$9)</f>
        <v/>
      </c>
      <c r="U19" s="9">
        <f>MIN(0.95,INDEX('الافتراضات'!$C$32:$G$32,U$9)+'الافتراضات'!$F$9)</f>
        <v/>
      </c>
      <c r="V19" s="9">
        <f>MIN(0.95,INDEX('الافتراضات'!$C$32:$G$32,V$9)+'الافتراضات'!$F$9)</f>
        <v/>
      </c>
      <c r="W19" s="9">
        <f>MIN(0.95,INDEX('الافتراضات'!$C$32:$G$32,W$9)+'الافتراضات'!$F$9)</f>
        <v/>
      </c>
      <c r="X19" s="9">
        <f>MIN(0.95,INDEX('الافتراضات'!$C$32:$G$32,X$9)+'الافتراضات'!$F$9)</f>
        <v/>
      </c>
      <c r="Y19" s="9">
        <f>MIN(0.95,INDEX('الافتراضات'!$C$32:$G$32,Y$9)+'الافتراضات'!$F$9)</f>
        <v/>
      </c>
      <c r="Z19" s="9">
        <f>MIN(0.95,INDEX('الافتراضات'!$C$32:$G$32,Z$9)+'الافتراضات'!$F$9)</f>
        <v/>
      </c>
      <c r="AA19" s="9">
        <f>MIN(0.95,INDEX('الافتراضات'!$C$32:$G$32,AA$9)+'الافتراضات'!$F$9)</f>
        <v/>
      </c>
      <c r="AB19" s="9">
        <f>MIN(0.95,INDEX('الافتراضات'!$C$32:$G$32,AB$9)+'الافتراضات'!$F$9)</f>
        <v/>
      </c>
      <c r="AC19" s="9">
        <f>MIN(0.95,INDEX('الافتراضات'!$C$32:$G$32,AC$9)+'الافتراضات'!$F$9)</f>
        <v/>
      </c>
      <c r="AD19" s="9">
        <f>MIN(0.95,INDEX('الافتراضات'!$C$32:$G$32,AD$9)+'الافتراضات'!$F$9)</f>
        <v/>
      </c>
      <c r="AE19" s="9">
        <f>MIN(0.95,INDEX('الافتراضات'!$C$32:$G$32,AE$9)+'الافتراضات'!$F$9)</f>
        <v/>
      </c>
      <c r="AF19" s="9">
        <f>MIN(0.95,INDEX('الافتراضات'!$C$32:$G$32,AF$9)+'الافتراضات'!$F$9)</f>
        <v/>
      </c>
      <c r="AG19" s="9">
        <f>MIN(0.95,INDEX('الافتراضات'!$C$32:$G$32,AG$9)+'الافتراضات'!$F$9)</f>
        <v/>
      </c>
      <c r="AH19" s="9">
        <f>MIN(0.95,INDEX('الافتراضات'!$C$32:$G$32,AH$9)+'الافتراضات'!$F$9)</f>
        <v/>
      </c>
      <c r="AI19" s="9">
        <f>MIN(0.95,INDEX('الافتراضات'!$C$32:$G$32,AI$9)+'الافتراضات'!$F$9)</f>
        <v/>
      </c>
      <c r="AJ19" s="9">
        <f>MIN(0.95,INDEX('الافتراضات'!$C$32:$G$32,AJ$9)+'الافتراضات'!$F$9)</f>
        <v/>
      </c>
      <c r="AK19" s="9">
        <f>MIN(0.95,INDEX('الافتراضات'!$C$32:$G$32,AK$9)+'الافتراضات'!$F$9)</f>
        <v/>
      </c>
      <c r="AL19" s="9">
        <f>MIN(0.95,INDEX('الافتراضات'!$C$32:$G$32,AL$9)+'الافتراضات'!$F$9)</f>
        <v/>
      </c>
      <c r="AM19" s="9">
        <f>MIN(0.95,INDEX('الافتراضات'!$C$32:$G$32,AM$9)+'الافتراضات'!$F$9)</f>
        <v/>
      </c>
      <c r="AN19" s="9">
        <f>MIN(0.95,INDEX('الافتراضات'!$C$32:$G$32,AN$9)+'الافتراضات'!$F$9)</f>
        <v/>
      </c>
      <c r="AO19" s="9">
        <f>MIN(0.95,INDEX('الافتراضات'!$C$32:$G$32,AO$9)+'الافتراضات'!$F$9)</f>
        <v/>
      </c>
      <c r="AP19" s="9">
        <f>MIN(0.95,INDEX('الافتراضات'!$C$32:$G$32,AP$9)+'الافتراضات'!$F$9)</f>
        <v/>
      </c>
      <c r="AQ19" s="9">
        <f>MIN(0.95,INDEX('الافتراضات'!$C$32:$G$32,AQ$9)+'الافتراضات'!$F$9)</f>
        <v/>
      </c>
      <c r="AR19" s="9">
        <f>MIN(0.95,INDEX('الافتراضات'!$C$32:$G$32,AR$9)+'الافتراضات'!$F$9)</f>
        <v/>
      </c>
      <c r="AS19" s="9">
        <f>MIN(0.95,INDEX('الافتراضات'!$C$32:$G$32,AS$9)+'الافتراضات'!$F$9)</f>
        <v/>
      </c>
      <c r="AT19" s="9">
        <f>MIN(0.95,INDEX('الافتراضات'!$C$32:$G$32,AT$9)+'الافتراضات'!$F$9)</f>
        <v/>
      </c>
      <c r="AU19" s="9">
        <f>MIN(0.95,INDEX('الافتراضات'!$C$32:$G$32,AU$9)+'الافتراضات'!$F$9)</f>
        <v/>
      </c>
      <c r="AV19" s="9">
        <f>MIN(0.95,INDEX('الافتراضات'!$C$32:$G$32,AV$9)+'الافتراضات'!$F$9)</f>
        <v/>
      </c>
      <c r="AW19" s="9">
        <f>MIN(0.95,INDEX('الافتراضات'!$C$32:$G$32,AW$9)+'الافتراضات'!$F$9)</f>
        <v/>
      </c>
      <c r="AX19" s="9">
        <f>MIN(0.95,INDEX('الافتراضات'!$C$32:$G$32,AX$9)+'الافتراضات'!$F$9)</f>
        <v/>
      </c>
      <c r="AY19" s="9">
        <f>MIN(0.95,INDEX('الافتراضات'!$C$32:$G$32,AY$9)+'الافتراضات'!$F$9)</f>
        <v/>
      </c>
      <c r="AZ19" s="9">
        <f>MIN(0.95,INDEX('الافتراضات'!$C$32:$G$32,AZ$9)+'الافتراضات'!$F$9)</f>
        <v/>
      </c>
      <c r="BA19" s="9">
        <f>MIN(0.95,INDEX('الافتراضات'!$C$32:$G$32,BA$9)+'الافتراضات'!$F$9)</f>
        <v/>
      </c>
      <c r="BB19" s="9">
        <f>MIN(0.95,INDEX('الافتراضات'!$C$32:$G$32,BB$9)+'الافتراضات'!$F$9)</f>
        <v/>
      </c>
      <c r="BC19" s="9">
        <f>MIN(0.95,INDEX('الافتراضات'!$C$32:$G$32,BC$9)+'الافتراضات'!$F$9)</f>
        <v/>
      </c>
      <c r="BD19" s="9">
        <f>MIN(0.95,INDEX('الافتراضات'!$C$32:$G$32,BD$9)+'الافتراضات'!$F$9)</f>
        <v/>
      </c>
      <c r="BE19" s="9">
        <f>MIN(0.95,INDEX('الافتراضات'!$C$32:$G$32,BE$9)+'الافتراضات'!$F$9)</f>
        <v/>
      </c>
      <c r="BF19" s="9">
        <f>MIN(0.95,INDEX('الافتراضات'!$C$32:$G$32,BF$9)+'الافتراضات'!$F$9)</f>
        <v/>
      </c>
      <c r="BG19" s="9">
        <f>MIN(0.95,INDEX('الافتراضات'!$C$32:$G$32,BG$9)+'الافتراضات'!$F$9)</f>
        <v/>
      </c>
      <c r="BH19" s="9">
        <f>MIN(0.95,INDEX('الافتراضات'!$C$32:$G$32,BH$9)+'الافتراضات'!$F$9)</f>
        <v/>
      </c>
      <c r="BI19" s="9">
        <f>MIN(0.95,INDEX('الافتراضات'!$C$32:$G$32,BI$9)+'الافتراضات'!$F$9)</f>
        <v/>
      </c>
      <c r="BJ19" s="9">
        <f>MIN(0.95,INDEX('الافتراضات'!$C$32:$G$32,BJ$9)+'الافتراضات'!$F$9)</f>
        <v/>
      </c>
      <c r="BK19" s="9">
        <f>MIN(0.95,INDEX('الافتراضات'!$C$32:$G$32,BK$9)+'الافتراضات'!$F$9)</f>
        <v/>
      </c>
      <c r="BL19" s="9">
        <f>MIN(0.95,INDEX('الافتراضات'!$C$32:$G$32,BL$9)+'الافتراضات'!$F$9)</f>
        <v/>
      </c>
      <c r="BM19" s="9">
        <f>MIN(0.95,INDEX('الافتراضات'!$C$32:$G$32,BM$9)+'الافتراضات'!$F$9)</f>
        <v/>
      </c>
    </row>
    <row r="20">
      <c r="A20" s="15" t="inlineStr">
        <is>
          <t>العملاء النشطون — أبو المطامير</t>
        </is>
      </c>
      <c r="B20" s="22" t="inlineStr">
        <is>
          <t>#</t>
        </is>
      </c>
      <c r="C20" s="45">
        <f>C18</f>
        <v/>
      </c>
      <c r="D20" s="45">
        <f>C20*D19+D18</f>
        <v/>
      </c>
      <c r="E20" s="45">
        <f>D20*E19+E18</f>
        <v/>
      </c>
      <c r="F20" s="45">
        <f>E20*F19+F18</f>
        <v/>
      </c>
      <c r="G20" s="45">
        <f>F20*G19+G18</f>
        <v/>
      </c>
      <c r="H20" s="45">
        <f>G20*H19+H18</f>
        <v/>
      </c>
      <c r="I20" s="45">
        <f>H20*I19+I18</f>
        <v/>
      </c>
      <c r="J20" s="45">
        <f>I20*J19+J18</f>
        <v/>
      </c>
      <c r="K20" s="45">
        <f>J20*K19+K18</f>
        <v/>
      </c>
      <c r="L20" s="45">
        <f>K20*L19+L18</f>
        <v/>
      </c>
      <c r="M20" s="45">
        <f>L20*M19+M18</f>
        <v/>
      </c>
      <c r="N20" s="45">
        <f>M20*N19+N18</f>
        <v/>
      </c>
      <c r="O20" s="45">
        <f>N20*O19+O18</f>
        <v/>
      </c>
      <c r="P20" s="45">
        <f>O20*P19+P18</f>
        <v/>
      </c>
      <c r="Q20" s="45">
        <f>P20*Q19+Q18</f>
        <v/>
      </c>
      <c r="R20" s="45">
        <f>Q20*R19+R18</f>
        <v/>
      </c>
      <c r="S20" s="45">
        <f>R20*S19+S18</f>
        <v/>
      </c>
      <c r="T20" s="45">
        <f>S20*T19+T18</f>
        <v/>
      </c>
      <c r="U20" s="45">
        <f>T20*U19+U18</f>
        <v/>
      </c>
      <c r="V20" s="45">
        <f>U20*V19+V18</f>
        <v/>
      </c>
      <c r="W20" s="45">
        <f>V20*W19+W18</f>
        <v/>
      </c>
      <c r="X20" s="45">
        <f>W20*X19+X18</f>
        <v/>
      </c>
      <c r="Y20" s="45">
        <f>X20*Y19+Y18</f>
        <v/>
      </c>
      <c r="Z20" s="45">
        <f>Y20*Z19+Z18</f>
        <v/>
      </c>
      <c r="AA20" s="45">
        <f>Z20*AA19+AA18</f>
        <v/>
      </c>
      <c r="AB20" s="45">
        <f>AA20*AB19+AB18</f>
        <v/>
      </c>
      <c r="AC20" s="45">
        <f>AB20*AC19+AC18</f>
        <v/>
      </c>
      <c r="AD20" s="45">
        <f>AC20*AD19+AD18</f>
        <v/>
      </c>
      <c r="AE20" s="45">
        <f>AD20*AE19+AE18</f>
        <v/>
      </c>
      <c r="AF20" s="45">
        <f>AE20*AF19+AF18</f>
        <v/>
      </c>
      <c r="AG20" s="45">
        <f>AF20*AG19+AG18</f>
        <v/>
      </c>
      <c r="AH20" s="45">
        <f>AG20*AH19+AH18</f>
        <v/>
      </c>
      <c r="AI20" s="45">
        <f>AH20*AI19+AI18</f>
        <v/>
      </c>
      <c r="AJ20" s="45">
        <f>AI20*AJ19+AJ18</f>
        <v/>
      </c>
      <c r="AK20" s="45">
        <f>AJ20*AK19+AK18</f>
        <v/>
      </c>
      <c r="AL20" s="45">
        <f>AK20*AL19+AL18</f>
        <v/>
      </c>
      <c r="AM20" s="45">
        <f>AL20*AM19+AM18</f>
        <v/>
      </c>
      <c r="AN20" s="45">
        <f>AM20*AN19+AN18</f>
        <v/>
      </c>
      <c r="AO20" s="45">
        <f>AN20*AO19+AO18</f>
        <v/>
      </c>
      <c r="AP20" s="45">
        <f>AO20*AP19+AP18</f>
        <v/>
      </c>
      <c r="AQ20" s="45">
        <f>AP20*AQ19+AQ18</f>
        <v/>
      </c>
      <c r="AR20" s="45">
        <f>AQ20*AR19+AR18</f>
        <v/>
      </c>
      <c r="AS20" s="45">
        <f>AR20*AS19+AS18</f>
        <v/>
      </c>
      <c r="AT20" s="45">
        <f>AS20*AT19+AT18</f>
        <v/>
      </c>
      <c r="AU20" s="45">
        <f>AT20*AU19+AU18</f>
        <v/>
      </c>
      <c r="AV20" s="45">
        <f>AU20*AV19+AV18</f>
        <v/>
      </c>
      <c r="AW20" s="45">
        <f>AV20*AW19+AW18</f>
        <v/>
      </c>
      <c r="AX20" s="45">
        <f>AW20*AX19+AX18</f>
        <v/>
      </c>
      <c r="AY20" s="45">
        <f>AX20*AY19+AY18</f>
        <v/>
      </c>
      <c r="AZ20" s="45">
        <f>AY20*AZ19+AZ18</f>
        <v/>
      </c>
      <c r="BA20" s="45">
        <f>AZ20*BA19+BA18</f>
        <v/>
      </c>
      <c r="BB20" s="45">
        <f>BA20*BB19+BB18</f>
        <v/>
      </c>
      <c r="BC20" s="45">
        <f>BB20*BC19+BC18</f>
        <v/>
      </c>
      <c r="BD20" s="45">
        <f>BC20*BD19+BD18</f>
        <v/>
      </c>
      <c r="BE20" s="45">
        <f>BD20*BE19+BE18</f>
        <v/>
      </c>
      <c r="BF20" s="45">
        <f>BE20*BF19+BF18</f>
        <v/>
      </c>
      <c r="BG20" s="45">
        <f>BF20*BG19+BG18</f>
        <v/>
      </c>
      <c r="BH20" s="45">
        <f>BG20*BH19+BH18</f>
        <v/>
      </c>
      <c r="BI20" s="45">
        <f>BH20*BI19+BI18</f>
        <v/>
      </c>
      <c r="BJ20" s="45">
        <f>BI20*BJ19+BJ18</f>
        <v/>
      </c>
      <c r="BK20" s="45">
        <f>BJ20*BK19+BK18</f>
        <v/>
      </c>
      <c r="BL20" s="45">
        <f>BK20*BL19+BL18</f>
        <v/>
      </c>
      <c r="BM20" s="45">
        <f>BL20*BM19+BM18</f>
        <v/>
      </c>
    </row>
    <row r="21">
      <c r="A21" s="4" t="inlineStr">
        <is>
          <t>الأسر داخل مناطق التوصيل</t>
        </is>
      </c>
      <c r="B21" s="22" t="inlineStr">
        <is>
          <t>#</t>
        </is>
      </c>
      <c r="C21" s="45">
        <f>'الافتراضات'!$C$16/'الافتراضات'!$C$17*INDEX('الافتراضات'!$C$19:$G$19,C$9)</f>
        <v/>
      </c>
      <c r="D21" s="45">
        <f>'الافتراضات'!$C$16/'الافتراضات'!$C$17*INDEX('الافتراضات'!$C$19:$G$19,D$9)</f>
        <v/>
      </c>
      <c r="E21" s="45">
        <f>'الافتراضات'!$C$16/'الافتراضات'!$C$17*INDEX('الافتراضات'!$C$19:$G$19,E$9)</f>
        <v/>
      </c>
      <c r="F21" s="45">
        <f>'الافتراضات'!$C$16/'الافتراضات'!$C$17*INDEX('الافتراضات'!$C$19:$G$19,F$9)</f>
        <v/>
      </c>
      <c r="G21" s="45">
        <f>'الافتراضات'!$C$16/'الافتراضات'!$C$17*INDEX('الافتراضات'!$C$19:$G$19,G$9)</f>
        <v/>
      </c>
      <c r="H21" s="45">
        <f>'الافتراضات'!$C$16/'الافتراضات'!$C$17*INDEX('الافتراضات'!$C$19:$G$19,H$9)</f>
        <v/>
      </c>
      <c r="I21" s="45">
        <f>'الافتراضات'!$C$16/'الافتراضات'!$C$17*INDEX('الافتراضات'!$C$19:$G$19,I$9)</f>
        <v/>
      </c>
      <c r="J21" s="45">
        <f>'الافتراضات'!$C$16/'الافتراضات'!$C$17*INDEX('الافتراضات'!$C$19:$G$19,J$9)</f>
        <v/>
      </c>
      <c r="K21" s="45">
        <f>'الافتراضات'!$C$16/'الافتراضات'!$C$17*INDEX('الافتراضات'!$C$19:$G$19,K$9)</f>
        <v/>
      </c>
      <c r="L21" s="45">
        <f>'الافتراضات'!$C$16/'الافتراضات'!$C$17*INDEX('الافتراضات'!$C$19:$G$19,L$9)</f>
        <v/>
      </c>
      <c r="M21" s="45">
        <f>'الافتراضات'!$C$16/'الافتراضات'!$C$17*INDEX('الافتراضات'!$C$19:$G$19,M$9)</f>
        <v/>
      </c>
      <c r="N21" s="45">
        <f>'الافتراضات'!$C$16/'الافتراضات'!$C$17*INDEX('الافتراضات'!$C$19:$G$19,N$9)</f>
        <v/>
      </c>
      <c r="O21" s="45">
        <f>'الافتراضات'!$C$16/'الافتراضات'!$C$17*INDEX('الافتراضات'!$C$19:$G$19,O$9)</f>
        <v/>
      </c>
      <c r="P21" s="45">
        <f>'الافتراضات'!$C$16/'الافتراضات'!$C$17*INDEX('الافتراضات'!$C$19:$G$19,P$9)</f>
        <v/>
      </c>
      <c r="Q21" s="45">
        <f>'الافتراضات'!$C$16/'الافتراضات'!$C$17*INDEX('الافتراضات'!$C$19:$G$19,Q$9)</f>
        <v/>
      </c>
      <c r="R21" s="45">
        <f>'الافتراضات'!$C$16/'الافتراضات'!$C$17*INDEX('الافتراضات'!$C$19:$G$19,R$9)</f>
        <v/>
      </c>
      <c r="S21" s="45">
        <f>'الافتراضات'!$C$16/'الافتراضات'!$C$17*INDEX('الافتراضات'!$C$19:$G$19,S$9)</f>
        <v/>
      </c>
      <c r="T21" s="45">
        <f>'الافتراضات'!$C$16/'الافتراضات'!$C$17*INDEX('الافتراضات'!$C$19:$G$19,T$9)</f>
        <v/>
      </c>
      <c r="U21" s="45">
        <f>'الافتراضات'!$C$16/'الافتراضات'!$C$17*INDEX('الافتراضات'!$C$19:$G$19,U$9)</f>
        <v/>
      </c>
      <c r="V21" s="45">
        <f>'الافتراضات'!$C$16/'الافتراضات'!$C$17*INDEX('الافتراضات'!$C$19:$G$19,V$9)</f>
        <v/>
      </c>
      <c r="W21" s="45">
        <f>'الافتراضات'!$C$16/'الافتراضات'!$C$17*INDEX('الافتراضات'!$C$19:$G$19,W$9)</f>
        <v/>
      </c>
      <c r="X21" s="45">
        <f>'الافتراضات'!$C$16/'الافتراضات'!$C$17*INDEX('الافتراضات'!$C$19:$G$19,X$9)</f>
        <v/>
      </c>
      <c r="Y21" s="45">
        <f>'الافتراضات'!$C$16/'الافتراضات'!$C$17*INDEX('الافتراضات'!$C$19:$G$19,Y$9)</f>
        <v/>
      </c>
      <c r="Z21" s="45">
        <f>'الافتراضات'!$C$16/'الافتراضات'!$C$17*INDEX('الافتراضات'!$C$19:$G$19,Z$9)</f>
        <v/>
      </c>
      <c r="AA21" s="45">
        <f>'الافتراضات'!$C$16/'الافتراضات'!$C$17*INDEX('الافتراضات'!$C$19:$G$19,AA$9)</f>
        <v/>
      </c>
      <c r="AB21" s="45">
        <f>'الافتراضات'!$C$16/'الافتراضات'!$C$17*INDEX('الافتراضات'!$C$19:$G$19,AB$9)</f>
        <v/>
      </c>
      <c r="AC21" s="45">
        <f>'الافتراضات'!$C$16/'الافتراضات'!$C$17*INDEX('الافتراضات'!$C$19:$G$19,AC$9)</f>
        <v/>
      </c>
      <c r="AD21" s="45">
        <f>'الافتراضات'!$C$16/'الافتراضات'!$C$17*INDEX('الافتراضات'!$C$19:$G$19,AD$9)</f>
        <v/>
      </c>
      <c r="AE21" s="45">
        <f>'الافتراضات'!$C$16/'الافتراضات'!$C$17*INDEX('الافتراضات'!$C$19:$G$19,AE$9)</f>
        <v/>
      </c>
      <c r="AF21" s="45">
        <f>'الافتراضات'!$C$16/'الافتراضات'!$C$17*INDEX('الافتراضات'!$C$19:$G$19,AF$9)</f>
        <v/>
      </c>
      <c r="AG21" s="45">
        <f>'الافتراضات'!$C$16/'الافتراضات'!$C$17*INDEX('الافتراضات'!$C$19:$G$19,AG$9)</f>
        <v/>
      </c>
      <c r="AH21" s="45">
        <f>'الافتراضات'!$C$16/'الافتراضات'!$C$17*INDEX('الافتراضات'!$C$19:$G$19,AH$9)</f>
        <v/>
      </c>
      <c r="AI21" s="45">
        <f>'الافتراضات'!$C$16/'الافتراضات'!$C$17*INDEX('الافتراضات'!$C$19:$G$19,AI$9)</f>
        <v/>
      </c>
      <c r="AJ21" s="45">
        <f>'الافتراضات'!$C$16/'الافتراضات'!$C$17*INDEX('الافتراضات'!$C$19:$G$19,AJ$9)</f>
        <v/>
      </c>
      <c r="AK21" s="45">
        <f>'الافتراضات'!$C$16/'الافتراضات'!$C$17*INDEX('الافتراضات'!$C$19:$G$19,AK$9)</f>
        <v/>
      </c>
      <c r="AL21" s="45">
        <f>'الافتراضات'!$C$16/'الافتراضات'!$C$17*INDEX('الافتراضات'!$C$19:$G$19,AL$9)</f>
        <v/>
      </c>
      <c r="AM21" s="45">
        <f>'الافتراضات'!$C$16/'الافتراضات'!$C$17*INDEX('الافتراضات'!$C$19:$G$19,AM$9)</f>
        <v/>
      </c>
      <c r="AN21" s="45">
        <f>'الافتراضات'!$C$16/'الافتراضات'!$C$17*INDEX('الافتراضات'!$C$19:$G$19,AN$9)</f>
        <v/>
      </c>
      <c r="AO21" s="45">
        <f>'الافتراضات'!$C$16/'الافتراضات'!$C$17*INDEX('الافتراضات'!$C$19:$G$19,AO$9)</f>
        <v/>
      </c>
      <c r="AP21" s="45">
        <f>'الافتراضات'!$C$16/'الافتراضات'!$C$17*INDEX('الافتراضات'!$C$19:$G$19,AP$9)</f>
        <v/>
      </c>
      <c r="AQ21" s="45">
        <f>'الافتراضات'!$C$16/'الافتراضات'!$C$17*INDEX('الافتراضات'!$C$19:$G$19,AQ$9)</f>
        <v/>
      </c>
      <c r="AR21" s="45">
        <f>'الافتراضات'!$C$16/'الافتراضات'!$C$17*INDEX('الافتراضات'!$C$19:$G$19,AR$9)</f>
        <v/>
      </c>
      <c r="AS21" s="45">
        <f>'الافتراضات'!$C$16/'الافتراضات'!$C$17*INDEX('الافتراضات'!$C$19:$G$19,AS$9)</f>
        <v/>
      </c>
      <c r="AT21" s="45">
        <f>'الافتراضات'!$C$16/'الافتراضات'!$C$17*INDEX('الافتراضات'!$C$19:$G$19,AT$9)</f>
        <v/>
      </c>
      <c r="AU21" s="45">
        <f>'الافتراضات'!$C$16/'الافتراضات'!$C$17*INDEX('الافتراضات'!$C$19:$G$19,AU$9)</f>
        <v/>
      </c>
      <c r="AV21" s="45">
        <f>'الافتراضات'!$C$16/'الافتراضات'!$C$17*INDEX('الافتراضات'!$C$19:$G$19,AV$9)</f>
        <v/>
      </c>
      <c r="AW21" s="45">
        <f>'الافتراضات'!$C$16/'الافتراضات'!$C$17*INDEX('الافتراضات'!$C$19:$G$19,AW$9)</f>
        <v/>
      </c>
      <c r="AX21" s="45">
        <f>'الافتراضات'!$C$16/'الافتراضات'!$C$17*INDEX('الافتراضات'!$C$19:$G$19,AX$9)</f>
        <v/>
      </c>
      <c r="AY21" s="45">
        <f>'الافتراضات'!$C$16/'الافتراضات'!$C$17*INDEX('الافتراضات'!$C$19:$G$19,AY$9)</f>
        <v/>
      </c>
      <c r="AZ21" s="45">
        <f>'الافتراضات'!$C$16/'الافتراضات'!$C$17*INDEX('الافتراضات'!$C$19:$G$19,AZ$9)</f>
        <v/>
      </c>
      <c r="BA21" s="45">
        <f>'الافتراضات'!$C$16/'الافتراضات'!$C$17*INDEX('الافتراضات'!$C$19:$G$19,BA$9)</f>
        <v/>
      </c>
      <c r="BB21" s="45">
        <f>'الافتراضات'!$C$16/'الافتراضات'!$C$17*INDEX('الافتراضات'!$C$19:$G$19,BB$9)</f>
        <v/>
      </c>
      <c r="BC21" s="45">
        <f>'الافتراضات'!$C$16/'الافتراضات'!$C$17*INDEX('الافتراضات'!$C$19:$G$19,BC$9)</f>
        <v/>
      </c>
      <c r="BD21" s="45">
        <f>'الافتراضات'!$C$16/'الافتراضات'!$C$17*INDEX('الافتراضات'!$C$19:$G$19,BD$9)</f>
        <v/>
      </c>
      <c r="BE21" s="45">
        <f>'الافتراضات'!$C$16/'الافتراضات'!$C$17*INDEX('الافتراضات'!$C$19:$G$19,BE$9)</f>
        <v/>
      </c>
      <c r="BF21" s="45">
        <f>'الافتراضات'!$C$16/'الافتراضات'!$C$17*INDEX('الافتراضات'!$C$19:$G$19,BF$9)</f>
        <v/>
      </c>
      <c r="BG21" s="45">
        <f>'الافتراضات'!$C$16/'الافتراضات'!$C$17*INDEX('الافتراضات'!$C$19:$G$19,BG$9)</f>
        <v/>
      </c>
      <c r="BH21" s="45">
        <f>'الافتراضات'!$C$16/'الافتراضات'!$C$17*INDEX('الافتراضات'!$C$19:$G$19,BH$9)</f>
        <v/>
      </c>
      <c r="BI21" s="45">
        <f>'الافتراضات'!$C$16/'الافتراضات'!$C$17*INDEX('الافتراضات'!$C$19:$G$19,BI$9)</f>
        <v/>
      </c>
      <c r="BJ21" s="45">
        <f>'الافتراضات'!$C$16/'الافتراضات'!$C$17*INDEX('الافتراضات'!$C$19:$G$19,BJ$9)</f>
        <v/>
      </c>
      <c r="BK21" s="45">
        <f>'الافتراضات'!$C$16/'الافتراضات'!$C$17*INDEX('الافتراضات'!$C$19:$G$19,BK$9)</f>
        <v/>
      </c>
      <c r="BL21" s="45">
        <f>'الافتراضات'!$C$16/'الافتراضات'!$C$17*INDEX('الافتراضات'!$C$19:$G$19,BL$9)</f>
        <v/>
      </c>
      <c r="BM21" s="45">
        <f>'الافتراضات'!$C$16/'الافتراضات'!$C$17*INDEX('الافتراضات'!$C$19:$G$19,BM$9)</f>
        <v/>
      </c>
    </row>
    <row r="22">
      <c r="A22" s="4" t="inlineStr">
        <is>
          <t>اختراق الأسر في نطاق الوصول</t>
        </is>
      </c>
      <c r="B22" s="22" t="inlineStr">
        <is>
          <t>%</t>
        </is>
      </c>
      <c r="C22" s="29">
        <f>IF(C21&gt;0,C20/C21,0)</f>
        <v/>
      </c>
      <c r="D22" s="29">
        <f>IF(D21&gt;0,D20/D21,0)</f>
        <v/>
      </c>
      <c r="E22" s="29">
        <f>IF(E21&gt;0,E20/E21,0)</f>
        <v/>
      </c>
      <c r="F22" s="29">
        <f>IF(F21&gt;0,F20/F21,0)</f>
        <v/>
      </c>
      <c r="G22" s="29">
        <f>IF(G21&gt;0,G20/G21,0)</f>
        <v/>
      </c>
      <c r="H22" s="29">
        <f>IF(H21&gt;0,H20/H21,0)</f>
        <v/>
      </c>
      <c r="I22" s="29">
        <f>IF(I21&gt;0,I20/I21,0)</f>
        <v/>
      </c>
      <c r="J22" s="29">
        <f>IF(J21&gt;0,J20/J21,0)</f>
        <v/>
      </c>
      <c r="K22" s="29">
        <f>IF(K21&gt;0,K20/K21,0)</f>
        <v/>
      </c>
      <c r="L22" s="29">
        <f>IF(L21&gt;0,L20/L21,0)</f>
        <v/>
      </c>
      <c r="M22" s="29">
        <f>IF(M21&gt;0,M20/M21,0)</f>
        <v/>
      </c>
      <c r="N22" s="29">
        <f>IF(N21&gt;0,N20/N21,0)</f>
        <v/>
      </c>
      <c r="O22" s="29">
        <f>IF(O21&gt;0,O20/O21,0)</f>
        <v/>
      </c>
      <c r="P22" s="29">
        <f>IF(P21&gt;0,P20/P21,0)</f>
        <v/>
      </c>
      <c r="Q22" s="29">
        <f>IF(Q21&gt;0,Q20/Q21,0)</f>
        <v/>
      </c>
      <c r="R22" s="29">
        <f>IF(R21&gt;0,R20/R21,0)</f>
        <v/>
      </c>
      <c r="S22" s="29">
        <f>IF(S21&gt;0,S20/S21,0)</f>
        <v/>
      </c>
      <c r="T22" s="29">
        <f>IF(T21&gt;0,T20/T21,0)</f>
        <v/>
      </c>
      <c r="U22" s="29">
        <f>IF(U21&gt;0,U20/U21,0)</f>
        <v/>
      </c>
      <c r="V22" s="29">
        <f>IF(V21&gt;0,V20/V21,0)</f>
        <v/>
      </c>
      <c r="W22" s="29">
        <f>IF(W21&gt;0,W20/W21,0)</f>
        <v/>
      </c>
      <c r="X22" s="29">
        <f>IF(X21&gt;0,X20/X21,0)</f>
        <v/>
      </c>
      <c r="Y22" s="29">
        <f>IF(Y21&gt;0,Y20/Y21,0)</f>
        <v/>
      </c>
      <c r="Z22" s="29">
        <f>IF(Z21&gt;0,Z20/Z21,0)</f>
        <v/>
      </c>
      <c r="AA22" s="29">
        <f>IF(AA21&gt;0,AA20/AA21,0)</f>
        <v/>
      </c>
      <c r="AB22" s="29">
        <f>IF(AB21&gt;0,AB20/AB21,0)</f>
        <v/>
      </c>
      <c r="AC22" s="29">
        <f>IF(AC21&gt;0,AC20/AC21,0)</f>
        <v/>
      </c>
      <c r="AD22" s="29">
        <f>IF(AD21&gt;0,AD20/AD21,0)</f>
        <v/>
      </c>
      <c r="AE22" s="29">
        <f>IF(AE21&gt;0,AE20/AE21,0)</f>
        <v/>
      </c>
      <c r="AF22" s="29">
        <f>IF(AF21&gt;0,AF20/AF21,0)</f>
        <v/>
      </c>
      <c r="AG22" s="29">
        <f>IF(AG21&gt;0,AG20/AG21,0)</f>
        <v/>
      </c>
      <c r="AH22" s="29">
        <f>IF(AH21&gt;0,AH20/AH21,0)</f>
        <v/>
      </c>
      <c r="AI22" s="29">
        <f>IF(AI21&gt;0,AI20/AI21,0)</f>
        <v/>
      </c>
      <c r="AJ22" s="29">
        <f>IF(AJ21&gt;0,AJ20/AJ21,0)</f>
        <v/>
      </c>
      <c r="AK22" s="29">
        <f>IF(AK21&gt;0,AK20/AK21,0)</f>
        <v/>
      </c>
      <c r="AL22" s="29">
        <f>IF(AL21&gt;0,AL20/AL21,0)</f>
        <v/>
      </c>
      <c r="AM22" s="29">
        <f>IF(AM21&gt;0,AM20/AM21,0)</f>
        <v/>
      </c>
      <c r="AN22" s="29">
        <f>IF(AN21&gt;0,AN20/AN21,0)</f>
        <v/>
      </c>
      <c r="AO22" s="29">
        <f>IF(AO21&gt;0,AO20/AO21,0)</f>
        <v/>
      </c>
      <c r="AP22" s="29">
        <f>IF(AP21&gt;0,AP20/AP21,0)</f>
        <v/>
      </c>
      <c r="AQ22" s="29">
        <f>IF(AQ21&gt;0,AQ20/AQ21,0)</f>
        <v/>
      </c>
      <c r="AR22" s="29">
        <f>IF(AR21&gt;0,AR20/AR21,0)</f>
        <v/>
      </c>
      <c r="AS22" s="29">
        <f>IF(AS21&gt;0,AS20/AS21,0)</f>
        <v/>
      </c>
      <c r="AT22" s="29">
        <f>IF(AT21&gt;0,AT20/AT21,0)</f>
        <v/>
      </c>
      <c r="AU22" s="29">
        <f>IF(AU21&gt;0,AU20/AU21,0)</f>
        <v/>
      </c>
      <c r="AV22" s="29">
        <f>IF(AV21&gt;0,AV20/AV21,0)</f>
        <v/>
      </c>
      <c r="AW22" s="29">
        <f>IF(AW21&gt;0,AW20/AW21,0)</f>
        <v/>
      </c>
      <c r="AX22" s="29">
        <f>IF(AX21&gt;0,AX20/AX21,0)</f>
        <v/>
      </c>
      <c r="AY22" s="29">
        <f>IF(AY21&gt;0,AY20/AY21,0)</f>
        <v/>
      </c>
      <c r="AZ22" s="29">
        <f>IF(AZ21&gt;0,AZ20/AZ21,0)</f>
        <v/>
      </c>
      <c r="BA22" s="29">
        <f>IF(BA21&gt;0,BA20/BA21,0)</f>
        <v/>
      </c>
      <c r="BB22" s="29">
        <f>IF(BB21&gt;0,BB20/BB21,0)</f>
        <v/>
      </c>
      <c r="BC22" s="29">
        <f>IF(BC21&gt;0,BC20/BC21,0)</f>
        <v/>
      </c>
      <c r="BD22" s="29">
        <f>IF(BD21&gt;0,BD20/BD21,0)</f>
        <v/>
      </c>
      <c r="BE22" s="29">
        <f>IF(BE21&gt;0,BE20/BE21,0)</f>
        <v/>
      </c>
      <c r="BF22" s="29">
        <f>IF(BF21&gt;0,BF20/BF21,0)</f>
        <v/>
      </c>
      <c r="BG22" s="29">
        <f>IF(BG21&gt;0,BG20/BG21,0)</f>
        <v/>
      </c>
      <c r="BH22" s="29">
        <f>IF(BH21&gt;0,BH20/BH21,0)</f>
        <v/>
      </c>
      <c r="BI22" s="29">
        <f>IF(BI21&gt;0,BI20/BI21,0)</f>
        <v/>
      </c>
      <c r="BJ22" s="29">
        <f>IF(BJ21&gt;0,BJ20/BJ21,0)</f>
        <v/>
      </c>
      <c r="BK22" s="29">
        <f>IF(BK21&gt;0,BK20/BK21,0)</f>
        <v/>
      </c>
      <c r="BL22" s="29">
        <f>IF(BL21&gt;0,BL20/BL21,0)</f>
        <v/>
      </c>
      <c r="BM22" s="29">
        <f>IF(BM21&gt;0,BM20/BM21,0)</f>
        <v/>
      </c>
    </row>
    <row r="23"/>
    <row r="24">
      <c r="A24" s="40" t="inlineStr">
        <is>
          <t>الطلبات و GMV</t>
        </is>
      </c>
      <c r="B24" s="41" t="n"/>
      <c r="C24" s="41" t="n"/>
      <c r="D24" s="41" t="n"/>
      <c r="E24" s="41" t="n"/>
      <c r="F24" s="41" t="n"/>
      <c r="G24" s="41" t="n"/>
      <c r="H24" s="41" t="n"/>
      <c r="I24" s="41" t="n"/>
      <c r="J24" s="41" t="n"/>
      <c r="K24" s="41" t="n"/>
      <c r="L24" s="41" t="n"/>
      <c r="M24" s="41" t="n"/>
      <c r="N24" s="41" t="n"/>
      <c r="O24" s="41" t="n"/>
      <c r="P24" s="41" t="n"/>
      <c r="Q24" s="41" t="n"/>
      <c r="R24" s="41" t="n"/>
      <c r="S24" s="41" t="n"/>
      <c r="T24" s="41" t="n"/>
      <c r="U24" s="41" t="n"/>
      <c r="V24" s="41" t="n"/>
      <c r="W24" s="41" t="n"/>
      <c r="X24" s="41" t="n"/>
      <c r="Y24" s="41" t="n"/>
      <c r="Z24" s="41" t="n"/>
      <c r="AA24" s="41" t="n"/>
      <c r="AB24" s="41" t="n"/>
      <c r="AC24" s="41" t="n"/>
      <c r="AD24" s="41" t="n"/>
      <c r="AE24" s="41" t="n"/>
      <c r="AF24" s="41" t="n"/>
      <c r="AG24" s="41" t="n"/>
      <c r="AH24" s="41" t="n"/>
      <c r="AI24" s="41" t="n"/>
      <c r="AJ24" s="41" t="n"/>
      <c r="AK24" s="41" t="n"/>
      <c r="AL24" s="41" t="n"/>
      <c r="AM24" s="41" t="n"/>
      <c r="AN24" s="41" t="n"/>
      <c r="AO24" s="41" t="n"/>
      <c r="AP24" s="41" t="n"/>
      <c r="AQ24" s="41" t="n"/>
      <c r="AR24" s="41" t="n"/>
      <c r="AS24" s="41" t="n"/>
      <c r="AT24" s="41" t="n"/>
      <c r="AU24" s="41" t="n"/>
      <c r="AV24" s="41" t="n"/>
      <c r="AW24" s="41" t="n"/>
      <c r="AX24" s="41" t="n"/>
      <c r="AY24" s="41" t="n"/>
      <c r="AZ24" s="41" t="n"/>
      <c r="BA24" s="41" t="n"/>
      <c r="BB24" s="41" t="n"/>
      <c r="BC24" s="41" t="n"/>
      <c r="BD24" s="41" t="n"/>
      <c r="BE24" s="41" t="n"/>
      <c r="BF24" s="41" t="n"/>
      <c r="BG24" s="41" t="n"/>
      <c r="BH24" s="41" t="n"/>
      <c r="BI24" s="41" t="n"/>
      <c r="BJ24" s="41" t="n"/>
      <c r="BK24" s="41" t="n"/>
      <c r="BL24" s="41" t="n"/>
      <c r="BM24" s="41" t="n"/>
    </row>
    <row r="25">
      <c r="A25" s="4" t="inlineStr">
        <is>
          <t>طلبات العميل النشط شهرياً</t>
        </is>
      </c>
      <c r="B25" s="22" t="inlineStr">
        <is>
          <t>#</t>
        </is>
      </c>
      <c r="C25" s="47">
        <f>INDEX('الافتراضات'!$C$33:$G$33,C$9)*'الافتراضات'!$F$10</f>
        <v/>
      </c>
      <c r="D25" s="47">
        <f>INDEX('الافتراضات'!$C$33:$G$33,D$9)*'الافتراضات'!$F$10</f>
        <v/>
      </c>
      <c r="E25" s="47">
        <f>INDEX('الافتراضات'!$C$33:$G$33,E$9)*'الافتراضات'!$F$10</f>
        <v/>
      </c>
      <c r="F25" s="47">
        <f>INDEX('الافتراضات'!$C$33:$G$33,F$9)*'الافتراضات'!$F$10</f>
        <v/>
      </c>
      <c r="G25" s="47">
        <f>INDEX('الافتراضات'!$C$33:$G$33,G$9)*'الافتراضات'!$F$10</f>
        <v/>
      </c>
      <c r="H25" s="47">
        <f>INDEX('الافتراضات'!$C$33:$G$33,H$9)*'الافتراضات'!$F$10</f>
        <v/>
      </c>
      <c r="I25" s="47">
        <f>INDEX('الافتراضات'!$C$33:$G$33,I$9)*'الافتراضات'!$F$10</f>
        <v/>
      </c>
      <c r="J25" s="47">
        <f>INDEX('الافتراضات'!$C$33:$G$33,J$9)*'الافتراضات'!$F$10</f>
        <v/>
      </c>
      <c r="K25" s="47">
        <f>INDEX('الافتراضات'!$C$33:$G$33,K$9)*'الافتراضات'!$F$10</f>
        <v/>
      </c>
      <c r="L25" s="47">
        <f>INDEX('الافتراضات'!$C$33:$G$33,L$9)*'الافتراضات'!$F$10</f>
        <v/>
      </c>
      <c r="M25" s="47">
        <f>INDEX('الافتراضات'!$C$33:$G$33,M$9)*'الافتراضات'!$F$10</f>
        <v/>
      </c>
      <c r="N25" s="47">
        <f>INDEX('الافتراضات'!$C$33:$G$33,N$9)*'الافتراضات'!$F$10</f>
        <v/>
      </c>
      <c r="O25" s="47">
        <f>INDEX('الافتراضات'!$C$33:$G$33,O$9)*'الافتراضات'!$F$10</f>
        <v/>
      </c>
      <c r="P25" s="47">
        <f>INDEX('الافتراضات'!$C$33:$G$33,P$9)*'الافتراضات'!$F$10</f>
        <v/>
      </c>
      <c r="Q25" s="47">
        <f>INDEX('الافتراضات'!$C$33:$G$33,Q$9)*'الافتراضات'!$F$10</f>
        <v/>
      </c>
      <c r="R25" s="47">
        <f>INDEX('الافتراضات'!$C$33:$G$33,R$9)*'الافتراضات'!$F$10</f>
        <v/>
      </c>
      <c r="S25" s="47">
        <f>INDEX('الافتراضات'!$C$33:$G$33,S$9)*'الافتراضات'!$F$10</f>
        <v/>
      </c>
      <c r="T25" s="47">
        <f>INDEX('الافتراضات'!$C$33:$G$33,T$9)*'الافتراضات'!$F$10</f>
        <v/>
      </c>
      <c r="U25" s="47">
        <f>INDEX('الافتراضات'!$C$33:$G$33,U$9)*'الافتراضات'!$F$10</f>
        <v/>
      </c>
      <c r="V25" s="47">
        <f>INDEX('الافتراضات'!$C$33:$G$33,V$9)*'الافتراضات'!$F$10</f>
        <v/>
      </c>
      <c r="W25" s="47">
        <f>INDEX('الافتراضات'!$C$33:$G$33,W$9)*'الافتراضات'!$F$10</f>
        <v/>
      </c>
      <c r="X25" s="47">
        <f>INDEX('الافتراضات'!$C$33:$G$33,X$9)*'الافتراضات'!$F$10</f>
        <v/>
      </c>
      <c r="Y25" s="47">
        <f>INDEX('الافتراضات'!$C$33:$G$33,Y$9)*'الافتراضات'!$F$10</f>
        <v/>
      </c>
      <c r="Z25" s="47">
        <f>INDEX('الافتراضات'!$C$33:$G$33,Z$9)*'الافتراضات'!$F$10</f>
        <v/>
      </c>
      <c r="AA25" s="47">
        <f>INDEX('الافتراضات'!$C$33:$G$33,AA$9)*'الافتراضات'!$F$10</f>
        <v/>
      </c>
      <c r="AB25" s="47">
        <f>INDEX('الافتراضات'!$C$33:$G$33,AB$9)*'الافتراضات'!$F$10</f>
        <v/>
      </c>
      <c r="AC25" s="47">
        <f>INDEX('الافتراضات'!$C$33:$G$33,AC$9)*'الافتراضات'!$F$10</f>
        <v/>
      </c>
      <c r="AD25" s="47">
        <f>INDEX('الافتراضات'!$C$33:$G$33,AD$9)*'الافتراضات'!$F$10</f>
        <v/>
      </c>
      <c r="AE25" s="47">
        <f>INDEX('الافتراضات'!$C$33:$G$33,AE$9)*'الافتراضات'!$F$10</f>
        <v/>
      </c>
      <c r="AF25" s="47">
        <f>INDEX('الافتراضات'!$C$33:$G$33,AF$9)*'الافتراضات'!$F$10</f>
        <v/>
      </c>
      <c r="AG25" s="47">
        <f>INDEX('الافتراضات'!$C$33:$G$33,AG$9)*'الافتراضات'!$F$10</f>
        <v/>
      </c>
      <c r="AH25" s="47">
        <f>INDEX('الافتراضات'!$C$33:$G$33,AH$9)*'الافتراضات'!$F$10</f>
        <v/>
      </c>
      <c r="AI25" s="47">
        <f>INDEX('الافتراضات'!$C$33:$G$33,AI$9)*'الافتراضات'!$F$10</f>
        <v/>
      </c>
      <c r="AJ25" s="47">
        <f>INDEX('الافتراضات'!$C$33:$G$33,AJ$9)*'الافتراضات'!$F$10</f>
        <v/>
      </c>
      <c r="AK25" s="47">
        <f>INDEX('الافتراضات'!$C$33:$G$33,AK$9)*'الافتراضات'!$F$10</f>
        <v/>
      </c>
      <c r="AL25" s="47">
        <f>INDEX('الافتراضات'!$C$33:$G$33,AL$9)*'الافتراضات'!$F$10</f>
        <v/>
      </c>
      <c r="AM25" s="47">
        <f>INDEX('الافتراضات'!$C$33:$G$33,AM$9)*'الافتراضات'!$F$10</f>
        <v/>
      </c>
      <c r="AN25" s="47">
        <f>INDEX('الافتراضات'!$C$33:$G$33,AN$9)*'الافتراضات'!$F$10</f>
        <v/>
      </c>
      <c r="AO25" s="47">
        <f>INDEX('الافتراضات'!$C$33:$G$33,AO$9)*'الافتراضات'!$F$10</f>
        <v/>
      </c>
      <c r="AP25" s="47">
        <f>INDEX('الافتراضات'!$C$33:$G$33,AP$9)*'الافتراضات'!$F$10</f>
        <v/>
      </c>
      <c r="AQ25" s="47">
        <f>INDEX('الافتراضات'!$C$33:$G$33,AQ$9)*'الافتراضات'!$F$10</f>
        <v/>
      </c>
      <c r="AR25" s="47">
        <f>INDEX('الافتراضات'!$C$33:$G$33,AR$9)*'الافتراضات'!$F$10</f>
        <v/>
      </c>
      <c r="AS25" s="47">
        <f>INDEX('الافتراضات'!$C$33:$G$33,AS$9)*'الافتراضات'!$F$10</f>
        <v/>
      </c>
      <c r="AT25" s="47">
        <f>INDEX('الافتراضات'!$C$33:$G$33,AT$9)*'الافتراضات'!$F$10</f>
        <v/>
      </c>
      <c r="AU25" s="47">
        <f>INDEX('الافتراضات'!$C$33:$G$33,AU$9)*'الافتراضات'!$F$10</f>
        <v/>
      </c>
      <c r="AV25" s="47">
        <f>INDEX('الافتراضات'!$C$33:$G$33,AV$9)*'الافتراضات'!$F$10</f>
        <v/>
      </c>
      <c r="AW25" s="47">
        <f>INDEX('الافتراضات'!$C$33:$G$33,AW$9)*'الافتراضات'!$F$10</f>
        <v/>
      </c>
      <c r="AX25" s="47">
        <f>INDEX('الافتراضات'!$C$33:$G$33,AX$9)*'الافتراضات'!$F$10</f>
        <v/>
      </c>
      <c r="AY25" s="47">
        <f>INDEX('الافتراضات'!$C$33:$G$33,AY$9)*'الافتراضات'!$F$10</f>
        <v/>
      </c>
      <c r="AZ25" s="47">
        <f>INDEX('الافتراضات'!$C$33:$G$33,AZ$9)*'الافتراضات'!$F$10</f>
        <v/>
      </c>
      <c r="BA25" s="47">
        <f>INDEX('الافتراضات'!$C$33:$G$33,BA$9)*'الافتراضات'!$F$10</f>
        <v/>
      </c>
      <c r="BB25" s="47">
        <f>INDEX('الافتراضات'!$C$33:$G$33,BB$9)*'الافتراضات'!$F$10</f>
        <v/>
      </c>
      <c r="BC25" s="47">
        <f>INDEX('الافتراضات'!$C$33:$G$33,BC$9)*'الافتراضات'!$F$10</f>
        <v/>
      </c>
      <c r="BD25" s="47">
        <f>INDEX('الافتراضات'!$C$33:$G$33,BD$9)*'الافتراضات'!$F$10</f>
        <v/>
      </c>
      <c r="BE25" s="47">
        <f>INDEX('الافتراضات'!$C$33:$G$33,BE$9)*'الافتراضات'!$F$10</f>
        <v/>
      </c>
      <c r="BF25" s="47">
        <f>INDEX('الافتراضات'!$C$33:$G$33,BF$9)*'الافتراضات'!$F$10</f>
        <v/>
      </c>
      <c r="BG25" s="47">
        <f>INDEX('الافتراضات'!$C$33:$G$33,BG$9)*'الافتراضات'!$F$10</f>
        <v/>
      </c>
      <c r="BH25" s="47">
        <f>INDEX('الافتراضات'!$C$33:$G$33,BH$9)*'الافتراضات'!$F$10</f>
        <v/>
      </c>
      <c r="BI25" s="47">
        <f>INDEX('الافتراضات'!$C$33:$G$33,BI$9)*'الافتراضات'!$F$10</f>
        <v/>
      </c>
      <c r="BJ25" s="47">
        <f>INDEX('الافتراضات'!$C$33:$G$33,BJ$9)*'الافتراضات'!$F$10</f>
        <v/>
      </c>
      <c r="BK25" s="47">
        <f>INDEX('الافتراضات'!$C$33:$G$33,BK$9)*'الافتراضات'!$F$10</f>
        <v/>
      </c>
      <c r="BL25" s="47">
        <f>INDEX('الافتراضات'!$C$33:$G$33,BL$9)*'الافتراضات'!$F$10</f>
        <v/>
      </c>
      <c r="BM25" s="47">
        <f>INDEX('الافتراضات'!$C$33:$G$33,BM$9)*'الافتراضات'!$F$10</f>
        <v/>
      </c>
    </row>
    <row r="26">
      <c r="A26" s="15" t="inlineStr">
        <is>
          <t>طلبات العملاء — أبو المطامير</t>
        </is>
      </c>
      <c r="B26" s="22" t="inlineStr">
        <is>
          <t>#</t>
        </is>
      </c>
      <c r="C26" s="45">
        <f>C20*C25</f>
        <v/>
      </c>
      <c r="D26" s="45">
        <f>D20*D25</f>
        <v/>
      </c>
      <c r="E26" s="45">
        <f>E20*E25</f>
        <v/>
      </c>
      <c r="F26" s="45">
        <f>F20*F25</f>
        <v/>
      </c>
      <c r="G26" s="45">
        <f>G20*G25</f>
        <v/>
      </c>
      <c r="H26" s="45">
        <f>H20*H25</f>
        <v/>
      </c>
      <c r="I26" s="45">
        <f>I20*I25</f>
        <v/>
      </c>
      <c r="J26" s="45">
        <f>J20*J25</f>
        <v/>
      </c>
      <c r="K26" s="45">
        <f>K20*K25</f>
        <v/>
      </c>
      <c r="L26" s="45">
        <f>L20*L25</f>
        <v/>
      </c>
      <c r="M26" s="45">
        <f>M20*M25</f>
        <v/>
      </c>
      <c r="N26" s="45">
        <f>N20*N25</f>
        <v/>
      </c>
      <c r="O26" s="45">
        <f>O20*O25</f>
        <v/>
      </c>
      <c r="P26" s="45">
        <f>P20*P25</f>
        <v/>
      </c>
      <c r="Q26" s="45">
        <f>Q20*Q25</f>
        <v/>
      </c>
      <c r="R26" s="45">
        <f>R20*R25</f>
        <v/>
      </c>
      <c r="S26" s="45">
        <f>S20*S25</f>
        <v/>
      </c>
      <c r="T26" s="45">
        <f>T20*T25</f>
        <v/>
      </c>
      <c r="U26" s="45">
        <f>U20*U25</f>
        <v/>
      </c>
      <c r="V26" s="45">
        <f>V20*V25</f>
        <v/>
      </c>
      <c r="W26" s="45">
        <f>W20*W25</f>
        <v/>
      </c>
      <c r="X26" s="45">
        <f>X20*X25</f>
        <v/>
      </c>
      <c r="Y26" s="45">
        <f>Y20*Y25</f>
        <v/>
      </c>
      <c r="Z26" s="45">
        <f>Z20*Z25</f>
        <v/>
      </c>
      <c r="AA26" s="45">
        <f>AA20*AA25</f>
        <v/>
      </c>
      <c r="AB26" s="45">
        <f>AB20*AB25</f>
        <v/>
      </c>
      <c r="AC26" s="45">
        <f>AC20*AC25</f>
        <v/>
      </c>
      <c r="AD26" s="45">
        <f>AD20*AD25</f>
        <v/>
      </c>
      <c r="AE26" s="45">
        <f>AE20*AE25</f>
        <v/>
      </c>
      <c r="AF26" s="45">
        <f>AF20*AF25</f>
        <v/>
      </c>
      <c r="AG26" s="45">
        <f>AG20*AG25</f>
        <v/>
      </c>
      <c r="AH26" s="45">
        <f>AH20*AH25</f>
        <v/>
      </c>
      <c r="AI26" s="45">
        <f>AI20*AI25</f>
        <v/>
      </c>
      <c r="AJ26" s="45">
        <f>AJ20*AJ25</f>
        <v/>
      </c>
      <c r="AK26" s="45">
        <f>AK20*AK25</f>
        <v/>
      </c>
      <c r="AL26" s="45">
        <f>AL20*AL25</f>
        <v/>
      </c>
      <c r="AM26" s="45">
        <f>AM20*AM25</f>
        <v/>
      </c>
      <c r="AN26" s="45">
        <f>AN20*AN25</f>
        <v/>
      </c>
      <c r="AO26" s="45">
        <f>AO20*AO25</f>
        <v/>
      </c>
      <c r="AP26" s="45">
        <f>AP20*AP25</f>
        <v/>
      </c>
      <c r="AQ26" s="45">
        <f>AQ20*AQ25</f>
        <v/>
      </c>
      <c r="AR26" s="45">
        <f>AR20*AR25</f>
        <v/>
      </c>
      <c r="AS26" s="45">
        <f>AS20*AS25</f>
        <v/>
      </c>
      <c r="AT26" s="45">
        <f>AT20*AT25</f>
        <v/>
      </c>
      <c r="AU26" s="45">
        <f>AU20*AU25</f>
        <v/>
      </c>
      <c r="AV26" s="45">
        <f>AV20*AV25</f>
        <v/>
      </c>
      <c r="AW26" s="45">
        <f>AW20*AW25</f>
        <v/>
      </c>
      <c r="AX26" s="45">
        <f>AX20*AX25</f>
        <v/>
      </c>
      <c r="AY26" s="45">
        <f>AY20*AY25</f>
        <v/>
      </c>
      <c r="AZ26" s="45">
        <f>AZ20*AZ25</f>
        <v/>
      </c>
      <c r="BA26" s="45">
        <f>BA20*BA25</f>
        <v/>
      </c>
      <c r="BB26" s="45">
        <f>BB20*BB25</f>
        <v/>
      </c>
      <c r="BC26" s="45">
        <f>BC20*BC25</f>
        <v/>
      </c>
      <c r="BD26" s="45">
        <f>BD20*BD25</f>
        <v/>
      </c>
      <c r="BE26" s="45">
        <f>BE20*BE25</f>
        <v/>
      </c>
      <c r="BF26" s="45">
        <f>BF20*BF25</f>
        <v/>
      </c>
      <c r="BG26" s="45">
        <f>BG20*BG25</f>
        <v/>
      </c>
      <c r="BH26" s="45">
        <f>BH20*BH25</f>
        <v/>
      </c>
      <c r="BI26" s="45">
        <f>BI20*BI25</f>
        <v/>
      </c>
      <c r="BJ26" s="45">
        <f>BJ20*BJ25</f>
        <v/>
      </c>
      <c r="BK26" s="45">
        <f>BK20*BK25</f>
        <v/>
      </c>
      <c r="BL26" s="45">
        <f>BL20*BL25</f>
        <v/>
      </c>
      <c r="BM26" s="45">
        <f>BM20*BM25</f>
        <v/>
      </c>
    </row>
    <row r="27"/>
    <row r="28">
      <c r="A28" s="40" t="inlineStr">
        <is>
          <t>مراكز التوسع (نفس منحنى العمر × معامل الحجم)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  <c r="AF28" s="41" t="n"/>
      <c r="AG28" s="41" t="n"/>
      <c r="AH28" s="41" t="n"/>
      <c r="AI28" s="41" t="n"/>
      <c r="AJ28" s="41" t="n"/>
      <c r="AK28" s="41" t="n"/>
      <c r="AL28" s="41" t="n"/>
      <c r="AM28" s="41" t="n"/>
      <c r="AN28" s="41" t="n"/>
      <c r="AO28" s="41" t="n"/>
      <c r="AP28" s="41" t="n"/>
      <c r="AQ28" s="41" t="n"/>
      <c r="AR28" s="41" t="n"/>
      <c r="AS28" s="41" t="n"/>
      <c r="AT28" s="41" t="n"/>
      <c r="AU28" s="41" t="n"/>
      <c r="AV28" s="41" t="n"/>
      <c r="AW28" s="41" t="n"/>
      <c r="AX28" s="41" t="n"/>
      <c r="AY28" s="41" t="n"/>
      <c r="AZ28" s="41" t="n"/>
      <c r="BA28" s="41" t="n"/>
      <c r="BB28" s="41" t="n"/>
      <c r="BC28" s="41" t="n"/>
      <c r="BD28" s="41" t="n"/>
      <c r="BE28" s="41" t="n"/>
      <c r="BF28" s="41" t="n"/>
      <c r="BG28" s="41" t="n"/>
      <c r="BH28" s="41" t="n"/>
      <c r="BI28" s="41" t="n"/>
      <c r="BJ28" s="41" t="n"/>
      <c r="BK28" s="41" t="n"/>
      <c r="BL28" s="41" t="n"/>
      <c r="BM28" s="41" t="n"/>
    </row>
    <row r="29">
      <c r="A29" s="4" t="inlineStr">
        <is>
          <t>العملاء النشطون — حوش عيسى</t>
        </is>
      </c>
      <c r="B29" s="22" t="inlineStr">
        <is>
          <t>#</t>
        </is>
      </c>
      <c r="C29" s="45">
        <f>IF(AND('الافتراضات'!$C$112=1,C7&gt;='الافتراضات'!$C$117),INDEX($C20:$BM20,1,C7-'الافتراضات'!$C$117+4)*'الافتراضات'!$D$117,0)</f>
        <v/>
      </c>
      <c r="D29" s="45">
        <f>IF(AND('الافتراضات'!$C$112=1,D7&gt;='الافتراضات'!$C$117),INDEX($C20:$BM20,1,D7-'الافتراضات'!$C$117+4)*'الافتراضات'!$D$117,0)</f>
        <v/>
      </c>
      <c r="E29" s="45">
        <f>IF(AND('الافتراضات'!$C$112=1,E7&gt;='الافتراضات'!$C$117),INDEX($C20:$BM20,1,E7-'الافتراضات'!$C$117+4)*'الافتراضات'!$D$117,0)</f>
        <v/>
      </c>
      <c r="F29" s="45">
        <f>IF(AND('الافتراضات'!$C$112=1,F7&gt;='الافتراضات'!$C$117),INDEX($C20:$BM20,1,F7-'الافتراضات'!$C$117+4)*'الافتراضات'!$D$117,0)</f>
        <v/>
      </c>
      <c r="G29" s="45">
        <f>IF(AND('الافتراضات'!$C$112=1,G7&gt;='الافتراضات'!$C$117),INDEX($C20:$BM20,1,G7-'الافتراضات'!$C$117+4)*'الافتراضات'!$D$117,0)</f>
        <v/>
      </c>
      <c r="H29" s="45">
        <f>IF(AND('الافتراضات'!$C$112=1,H7&gt;='الافتراضات'!$C$117),INDEX($C20:$BM20,1,H7-'الافتراضات'!$C$117+4)*'الافتراضات'!$D$117,0)</f>
        <v/>
      </c>
      <c r="I29" s="45">
        <f>IF(AND('الافتراضات'!$C$112=1,I7&gt;='الافتراضات'!$C$117),INDEX($C20:$BM20,1,I7-'الافتراضات'!$C$117+4)*'الافتراضات'!$D$117,0)</f>
        <v/>
      </c>
      <c r="J29" s="45">
        <f>IF(AND('الافتراضات'!$C$112=1,J7&gt;='الافتراضات'!$C$117),INDEX($C20:$BM20,1,J7-'الافتراضات'!$C$117+4)*'الافتراضات'!$D$117,0)</f>
        <v/>
      </c>
      <c r="K29" s="45">
        <f>IF(AND('الافتراضات'!$C$112=1,K7&gt;='الافتراضات'!$C$117),INDEX($C20:$BM20,1,K7-'الافتراضات'!$C$117+4)*'الافتراضات'!$D$117,0)</f>
        <v/>
      </c>
      <c r="L29" s="45">
        <f>IF(AND('الافتراضات'!$C$112=1,L7&gt;='الافتراضات'!$C$117),INDEX($C20:$BM20,1,L7-'الافتراضات'!$C$117+4)*'الافتراضات'!$D$117,0)</f>
        <v/>
      </c>
      <c r="M29" s="45">
        <f>IF(AND('الافتراضات'!$C$112=1,M7&gt;='الافتراضات'!$C$117),INDEX($C20:$BM20,1,M7-'الافتراضات'!$C$117+4)*'الافتراضات'!$D$117,0)</f>
        <v/>
      </c>
      <c r="N29" s="45">
        <f>IF(AND('الافتراضات'!$C$112=1,N7&gt;='الافتراضات'!$C$117),INDEX($C20:$BM20,1,N7-'الافتراضات'!$C$117+4)*'الافتراضات'!$D$117,0)</f>
        <v/>
      </c>
      <c r="O29" s="45">
        <f>IF(AND('الافتراضات'!$C$112=1,O7&gt;='الافتراضات'!$C$117),INDEX($C20:$BM20,1,O7-'الافتراضات'!$C$117+4)*'الافتراضات'!$D$117,0)</f>
        <v/>
      </c>
      <c r="P29" s="45">
        <f>IF(AND('الافتراضات'!$C$112=1,P7&gt;='الافتراضات'!$C$117),INDEX($C20:$BM20,1,P7-'الافتراضات'!$C$117+4)*'الافتراضات'!$D$117,0)</f>
        <v/>
      </c>
      <c r="Q29" s="45">
        <f>IF(AND('الافتراضات'!$C$112=1,Q7&gt;='الافتراضات'!$C$117),INDEX($C20:$BM20,1,Q7-'الافتراضات'!$C$117+4)*'الافتراضات'!$D$117,0)</f>
        <v/>
      </c>
      <c r="R29" s="45">
        <f>IF(AND('الافتراضات'!$C$112=1,R7&gt;='الافتراضات'!$C$117),INDEX($C20:$BM20,1,R7-'الافتراضات'!$C$117+4)*'الافتراضات'!$D$117,0)</f>
        <v/>
      </c>
      <c r="S29" s="45">
        <f>IF(AND('الافتراضات'!$C$112=1,S7&gt;='الافتراضات'!$C$117),INDEX($C20:$BM20,1,S7-'الافتراضات'!$C$117+4)*'الافتراضات'!$D$117,0)</f>
        <v/>
      </c>
      <c r="T29" s="45">
        <f>IF(AND('الافتراضات'!$C$112=1,T7&gt;='الافتراضات'!$C$117),INDEX($C20:$BM20,1,T7-'الافتراضات'!$C$117+4)*'الافتراضات'!$D$117,0)</f>
        <v/>
      </c>
      <c r="U29" s="45">
        <f>IF(AND('الافتراضات'!$C$112=1,U7&gt;='الافتراضات'!$C$117),INDEX($C20:$BM20,1,U7-'الافتراضات'!$C$117+4)*'الافتراضات'!$D$117,0)</f>
        <v/>
      </c>
      <c r="V29" s="45">
        <f>IF(AND('الافتراضات'!$C$112=1,V7&gt;='الافتراضات'!$C$117),INDEX($C20:$BM20,1,V7-'الافتراضات'!$C$117+4)*'الافتراضات'!$D$117,0)</f>
        <v/>
      </c>
      <c r="W29" s="45">
        <f>IF(AND('الافتراضات'!$C$112=1,W7&gt;='الافتراضات'!$C$117),INDEX($C20:$BM20,1,W7-'الافتراضات'!$C$117+4)*'الافتراضات'!$D$117,0)</f>
        <v/>
      </c>
      <c r="X29" s="45">
        <f>IF(AND('الافتراضات'!$C$112=1,X7&gt;='الافتراضات'!$C$117),INDEX($C20:$BM20,1,X7-'الافتراضات'!$C$117+4)*'الافتراضات'!$D$117,0)</f>
        <v/>
      </c>
      <c r="Y29" s="45">
        <f>IF(AND('الافتراضات'!$C$112=1,Y7&gt;='الافتراضات'!$C$117),INDEX($C20:$BM20,1,Y7-'الافتراضات'!$C$117+4)*'الافتراضات'!$D$117,0)</f>
        <v/>
      </c>
      <c r="Z29" s="45">
        <f>IF(AND('الافتراضات'!$C$112=1,Z7&gt;='الافتراضات'!$C$117),INDEX($C20:$BM20,1,Z7-'الافتراضات'!$C$117+4)*'الافتراضات'!$D$117,0)</f>
        <v/>
      </c>
      <c r="AA29" s="45">
        <f>IF(AND('الافتراضات'!$C$112=1,AA7&gt;='الافتراضات'!$C$117),INDEX($C20:$BM20,1,AA7-'الافتراضات'!$C$117+4)*'الافتراضات'!$D$117,0)</f>
        <v/>
      </c>
      <c r="AB29" s="45">
        <f>IF(AND('الافتراضات'!$C$112=1,AB7&gt;='الافتراضات'!$C$117),INDEX($C20:$BM20,1,AB7-'الافتراضات'!$C$117+4)*'الافتراضات'!$D$117,0)</f>
        <v/>
      </c>
      <c r="AC29" s="45">
        <f>IF(AND('الافتراضات'!$C$112=1,AC7&gt;='الافتراضات'!$C$117),INDEX($C20:$BM20,1,AC7-'الافتراضات'!$C$117+4)*'الافتراضات'!$D$117,0)</f>
        <v/>
      </c>
      <c r="AD29" s="45">
        <f>IF(AND('الافتراضات'!$C$112=1,AD7&gt;='الافتراضات'!$C$117),INDEX($C20:$BM20,1,AD7-'الافتراضات'!$C$117+4)*'الافتراضات'!$D$117,0)</f>
        <v/>
      </c>
      <c r="AE29" s="45">
        <f>IF(AND('الافتراضات'!$C$112=1,AE7&gt;='الافتراضات'!$C$117),INDEX($C20:$BM20,1,AE7-'الافتراضات'!$C$117+4)*'الافتراضات'!$D$117,0)</f>
        <v/>
      </c>
      <c r="AF29" s="45">
        <f>IF(AND('الافتراضات'!$C$112=1,AF7&gt;='الافتراضات'!$C$117),INDEX($C20:$BM20,1,AF7-'الافتراضات'!$C$117+4)*'الافتراضات'!$D$117,0)</f>
        <v/>
      </c>
      <c r="AG29" s="45">
        <f>IF(AND('الافتراضات'!$C$112=1,AG7&gt;='الافتراضات'!$C$117),INDEX($C20:$BM20,1,AG7-'الافتراضات'!$C$117+4)*'الافتراضات'!$D$117,0)</f>
        <v/>
      </c>
      <c r="AH29" s="45">
        <f>IF(AND('الافتراضات'!$C$112=1,AH7&gt;='الافتراضات'!$C$117),INDEX($C20:$BM20,1,AH7-'الافتراضات'!$C$117+4)*'الافتراضات'!$D$117,0)</f>
        <v/>
      </c>
      <c r="AI29" s="45">
        <f>IF(AND('الافتراضات'!$C$112=1,AI7&gt;='الافتراضات'!$C$117),INDEX($C20:$BM20,1,AI7-'الافتراضات'!$C$117+4)*'الافتراضات'!$D$117,0)</f>
        <v/>
      </c>
      <c r="AJ29" s="45">
        <f>IF(AND('الافتراضات'!$C$112=1,AJ7&gt;='الافتراضات'!$C$117),INDEX($C20:$BM20,1,AJ7-'الافتراضات'!$C$117+4)*'الافتراضات'!$D$117,0)</f>
        <v/>
      </c>
      <c r="AK29" s="45">
        <f>IF(AND('الافتراضات'!$C$112=1,AK7&gt;='الافتراضات'!$C$117),INDEX($C20:$BM20,1,AK7-'الافتراضات'!$C$117+4)*'الافتراضات'!$D$117,0)</f>
        <v/>
      </c>
      <c r="AL29" s="45">
        <f>IF(AND('الافتراضات'!$C$112=1,AL7&gt;='الافتراضات'!$C$117),INDEX($C20:$BM20,1,AL7-'الافتراضات'!$C$117+4)*'الافتراضات'!$D$117,0)</f>
        <v/>
      </c>
      <c r="AM29" s="45">
        <f>IF(AND('الافتراضات'!$C$112=1,AM7&gt;='الافتراضات'!$C$117),INDEX($C20:$BM20,1,AM7-'الافتراضات'!$C$117+4)*'الافتراضات'!$D$117,0)</f>
        <v/>
      </c>
      <c r="AN29" s="45">
        <f>IF(AND('الافتراضات'!$C$112=1,AN7&gt;='الافتراضات'!$C$117),INDEX($C20:$BM20,1,AN7-'الافتراضات'!$C$117+4)*'الافتراضات'!$D$117,0)</f>
        <v/>
      </c>
      <c r="AO29" s="45">
        <f>IF(AND('الافتراضات'!$C$112=1,AO7&gt;='الافتراضات'!$C$117),INDEX($C20:$BM20,1,AO7-'الافتراضات'!$C$117+4)*'الافتراضات'!$D$117,0)</f>
        <v/>
      </c>
      <c r="AP29" s="45">
        <f>IF(AND('الافتراضات'!$C$112=1,AP7&gt;='الافتراضات'!$C$117),INDEX($C20:$BM20,1,AP7-'الافتراضات'!$C$117+4)*'الافتراضات'!$D$117,0)</f>
        <v/>
      </c>
      <c r="AQ29" s="45">
        <f>IF(AND('الافتراضات'!$C$112=1,AQ7&gt;='الافتراضات'!$C$117),INDEX($C20:$BM20,1,AQ7-'الافتراضات'!$C$117+4)*'الافتراضات'!$D$117,0)</f>
        <v/>
      </c>
      <c r="AR29" s="45">
        <f>IF(AND('الافتراضات'!$C$112=1,AR7&gt;='الافتراضات'!$C$117),INDEX($C20:$BM20,1,AR7-'الافتراضات'!$C$117+4)*'الافتراضات'!$D$117,0)</f>
        <v/>
      </c>
      <c r="AS29" s="45">
        <f>IF(AND('الافتراضات'!$C$112=1,AS7&gt;='الافتراضات'!$C$117),INDEX($C20:$BM20,1,AS7-'الافتراضات'!$C$117+4)*'الافتراضات'!$D$117,0)</f>
        <v/>
      </c>
      <c r="AT29" s="45">
        <f>IF(AND('الافتراضات'!$C$112=1,AT7&gt;='الافتراضات'!$C$117),INDEX($C20:$BM20,1,AT7-'الافتراضات'!$C$117+4)*'الافتراضات'!$D$117,0)</f>
        <v/>
      </c>
      <c r="AU29" s="45">
        <f>IF(AND('الافتراضات'!$C$112=1,AU7&gt;='الافتراضات'!$C$117),INDEX($C20:$BM20,1,AU7-'الافتراضات'!$C$117+4)*'الافتراضات'!$D$117,0)</f>
        <v/>
      </c>
      <c r="AV29" s="45">
        <f>IF(AND('الافتراضات'!$C$112=1,AV7&gt;='الافتراضات'!$C$117),INDEX($C20:$BM20,1,AV7-'الافتراضات'!$C$117+4)*'الافتراضات'!$D$117,0)</f>
        <v/>
      </c>
      <c r="AW29" s="45">
        <f>IF(AND('الافتراضات'!$C$112=1,AW7&gt;='الافتراضات'!$C$117),INDEX($C20:$BM20,1,AW7-'الافتراضات'!$C$117+4)*'الافتراضات'!$D$117,0)</f>
        <v/>
      </c>
      <c r="AX29" s="45">
        <f>IF(AND('الافتراضات'!$C$112=1,AX7&gt;='الافتراضات'!$C$117),INDEX($C20:$BM20,1,AX7-'الافتراضات'!$C$117+4)*'الافتراضات'!$D$117,0)</f>
        <v/>
      </c>
      <c r="AY29" s="45">
        <f>IF(AND('الافتراضات'!$C$112=1,AY7&gt;='الافتراضات'!$C$117),INDEX($C20:$BM20,1,AY7-'الافتراضات'!$C$117+4)*'الافتراضات'!$D$117,0)</f>
        <v/>
      </c>
      <c r="AZ29" s="45">
        <f>IF(AND('الافتراضات'!$C$112=1,AZ7&gt;='الافتراضات'!$C$117),INDEX($C20:$BM20,1,AZ7-'الافتراضات'!$C$117+4)*'الافتراضات'!$D$117,0)</f>
        <v/>
      </c>
      <c r="BA29" s="45">
        <f>IF(AND('الافتراضات'!$C$112=1,BA7&gt;='الافتراضات'!$C$117),INDEX($C20:$BM20,1,BA7-'الافتراضات'!$C$117+4)*'الافتراضات'!$D$117,0)</f>
        <v/>
      </c>
      <c r="BB29" s="45">
        <f>IF(AND('الافتراضات'!$C$112=1,BB7&gt;='الافتراضات'!$C$117),INDEX($C20:$BM20,1,BB7-'الافتراضات'!$C$117+4)*'الافتراضات'!$D$117,0)</f>
        <v/>
      </c>
      <c r="BC29" s="45">
        <f>IF(AND('الافتراضات'!$C$112=1,BC7&gt;='الافتراضات'!$C$117),INDEX($C20:$BM20,1,BC7-'الافتراضات'!$C$117+4)*'الافتراضات'!$D$117,0)</f>
        <v/>
      </c>
      <c r="BD29" s="45">
        <f>IF(AND('الافتراضات'!$C$112=1,BD7&gt;='الافتراضات'!$C$117),INDEX($C20:$BM20,1,BD7-'الافتراضات'!$C$117+4)*'الافتراضات'!$D$117,0)</f>
        <v/>
      </c>
      <c r="BE29" s="45">
        <f>IF(AND('الافتراضات'!$C$112=1,BE7&gt;='الافتراضات'!$C$117),INDEX($C20:$BM20,1,BE7-'الافتراضات'!$C$117+4)*'الافتراضات'!$D$117,0)</f>
        <v/>
      </c>
      <c r="BF29" s="45">
        <f>IF(AND('الافتراضات'!$C$112=1,BF7&gt;='الافتراضات'!$C$117),INDEX($C20:$BM20,1,BF7-'الافتراضات'!$C$117+4)*'الافتراضات'!$D$117,0)</f>
        <v/>
      </c>
      <c r="BG29" s="45">
        <f>IF(AND('الافتراضات'!$C$112=1,BG7&gt;='الافتراضات'!$C$117),INDEX($C20:$BM20,1,BG7-'الافتراضات'!$C$117+4)*'الافتراضات'!$D$117,0)</f>
        <v/>
      </c>
      <c r="BH29" s="45">
        <f>IF(AND('الافتراضات'!$C$112=1,BH7&gt;='الافتراضات'!$C$117),INDEX($C20:$BM20,1,BH7-'الافتراضات'!$C$117+4)*'الافتراضات'!$D$117,0)</f>
        <v/>
      </c>
      <c r="BI29" s="45">
        <f>IF(AND('الافتراضات'!$C$112=1,BI7&gt;='الافتراضات'!$C$117),INDEX($C20:$BM20,1,BI7-'الافتراضات'!$C$117+4)*'الافتراضات'!$D$117,0)</f>
        <v/>
      </c>
      <c r="BJ29" s="45">
        <f>IF(AND('الافتراضات'!$C$112=1,BJ7&gt;='الافتراضات'!$C$117),INDEX($C20:$BM20,1,BJ7-'الافتراضات'!$C$117+4)*'الافتراضات'!$D$117,0)</f>
        <v/>
      </c>
      <c r="BK29" s="45">
        <f>IF(AND('الافتراضات'!$C$112=1,BK7&gt;='الافتراضات'!$C$117),INDEX($C20:$BM20,1,BK7-'الافتراضات'!$C$117+4)*'الافتراضات'!$D$117,0)</f>
        <v/>
      </c>
      <c r="BL29" s="45">
        <f>IF(AND('الافتراضات'!$C$112=1,BL7&gt;='الافتراضات'!$C$117),INDEX($C20:$BM20,1,BL7-'الافتراضات'!$C$117+4)*'الافتراضات'!$D$117,0)</f>
        <v/>
      </c>
      <c r="BM29" s="45">
        <f>IF(AND('الافتراضات'!$C$112=1,BM7&gt;='الافتراضات'!$C$117),INDEX($C20:$BM20,1,BM7-'الافتراضات'!$C$117+4)*'الافتراضات'!$D$117,0)</f>
        <v/>
      </c>
    </row>
    <row r="30">
      <c r="A30" s="4" t="inlineStr">
        <is>
          <t>العملاء النشطون — أبو حمص</t>
        </is>
      </c>
      <c r="B30" s="22" t="inlineStr">
        <is>
          <t>#</t>
        </is>
      </c>
      <c r="C30" s="45">
        <f>IF(AND('الافتراضات'!$C$112=1,C7&gt;='الافتراضات'!$C$118),INDEX($C20:$BM20,1,C7-'الافتراضات'!$C$118+4)*'الافتراضات'!$D$118,0)</f>
        <v/>
      </c>
      <c r="D30" s="45">
        <f>IF(AND('الافتراضات'!$C$112=1,D7&gt;='الافتراضات'!$C$118),INDEX($C20:$BM20,1,D7-'الافتراضات'!$C$118+4)*'الافتراضات'!$D$118,0)</f>
        <v/>
      </c>
      <c r="E30" s="45">
        <f>IF(AND('الافتراضات'!$C$112=1,E7&gt;='الافتراضات'!$C$118),INDEX($C20:$BM20,1,E7-'الافتراضات'!$C$118+4)*'الافتراضات'!$D$118,0)</f>
        <v/>
      </c>
      <c r="F30" s="45">
        <f>IF(AND('الافتراضات'!$C$112=1,F7&gt;='الافتراضات'!$C$118),INDEX($C20:$BM20,1,F7-'الافتراضات'!$C$118+4)*'الافتراضات'!$D$118,0)</f>
        <v/>
      </c>
      <c r="G30" s="45">
        <f>IF(AND('الافتراضات'!$C$112=1,G7&gt;='الافتراضات'!$C$118),INDEX($C20:$BM20,1,G7-'الافتراضات'!$C$118+4)*'الافتراضات'!$D$118,0)</f>
        <v/>
      </c>
      <c r="H30" s="45">
        <f>IF(AND('الافتراضات'!$C$112=1,H7&gt;='الافتراضات'!$C$118),INDEX($C20:$BM20,1,H7-'الافتراضات'!$C$118+4)*'الافتراضات'!$D$118,0)</f>
        <v/>
      </c>
      <c r="I30" s="45">
        <f>IF(AND('الافتراضات'!$C$112=1,I7&gt;='الافتراضات'!$C$118),INDEX($C20:$BM20,1,I7-'الافتراضات'!$C$118+4)*'الافتراضات'!$D$118,0)</f>
        <v/>
      </c>
      <c r="J30" s="45">
        <f>IF(AND('الافتراضات'!$C$112=1,J7&gt;='الافتراضات'!$C$118),INDEX($C20:$BM20,1,J7-'الافتراضات'!$C$118+4)*'الافتراضات'!$D$118,0)</f>
        <v/>
      </c>
      <c r="K30" s="45">
        <f>IF(AND('الافتراضات'!$C$112=1,K7&gt;='الافتراضات'!$C$118),INDEX($C20:$BM20,1,K7-'الافتراضات'!$C$118+4)*'الافتراضات'!$D$118,0)</f>
        <v/>
      </c>
      <c r="L30" s="45">
        <f>IF(AND('الافتراضات'!$C$112=1,L7&gt;='الافتراضات'!$C$118),INDEX($C20:$BM20,1,L7-'الافتراضات'!$C$118+4)*'الافتراضات'!$D$118,0)</f>
        <v/>
      </c>
      <c r="M30" s="45">
        <f>IF(AND('الافتراضات'!$C$112=1,M7&gt;='الافتراضات'!$C$118),INDEX($C20:$BM20,1,M7-'الافتراضات'!$C$118+4)*'الافتراضات'!$D$118,0)</f>
        <v/>
      </c>
      <c r="N30" s="45">
        <f>IF(AND('الافتراضات'!$C$112=1,N7&gt;='الافتراضات'!$C$118),INDEX($C20:$BM20,1,N7-'الافتراضات'!$C$118+4)*'الافتراضات'!$D$118,0)</f>
        <v/>
      </c>
      <c r="O30" s="45">
        <f>IF(AND('الافتراضات'!$C$112=1,O7&gt;='الافتراضات'!$C$118),INDEX($C20:$BM20,1,O7-'الافتراضات'!$C$118+4)*'الافتراضات'!$D$118,0)</f>
        <v/>
      </c>
      <c r="P30" s="45">
        <f>IF(AND('الافتراضات'!$C$112=1,P7&gt;='الافتراضات'!$C$118),INDEX($C20:$BM20,1,P7-'الافتراضات'!$C$118+4)*'الافتراضات'!$D$118,0)</f>
        <v/>
      </c>
      <c r="Q30" s="45">
        <f>IF(AND('الافتراضات'!$C$112=1,Q7&gt;='الافتراضات'!$C$118),INDEX($C20:$BM20,1,Q7-'الافتراضات'!$C$118+4)*'الافتراضات'!$D$118,0)</f>
        <v/>
      </c>
      <c r="R30" s="45">
        <f>IF(AND('الافتراضات'!$C$112=1,R7&gt;='الافتراضات'!$C$118),INDEX($C20:$BM20,1,R7-'الافتراضات'!$C$118+4)*'الافتراضات'!$D$118,0)</f>
        <v/>
      </c>
      <c r="S30" s="45">
        <f>IF(AND('الافتراضات'!$C$112=1,S7&gt;='الافتراضات'!$C$118),INDEX($C20:$BM20,1,S7-'الافتراضات'!$C$118+4)*'الافتراضات'!$D$118,0)</f>
        <v/>
      </c>
      <c r="T30" s="45">
        <f>IF(AND('الافتراضات'!$C$112=1,T7&gt;='الافتراضات'!$C$118),INDEX($C20:$BM20,1,T7-'الافتراضات'!$C$118+4)*'الافتراضات'!$D$118,0)</f>
        <v/>
      </c>
      <c r="U30" s="45">
        <f>IF(AND('الافتراضات'!$C$112=1,U7&gt;='الافتراضات'!$C$118),INDEX($C20:$BM20,1,U7-'الافتراضات'!$C$118+4)*'الافتراضات'!$D$118,0)</f>
        <v/>
      </c>
      <c r="V30" s="45">
        <f>IF(AND('الافتراضات'!$C$112=1,V7&gt;='الافتراضات'!$C$118),INDEX($C20:$BM20,1,V7-'الافتراضات'!$C$118+4)*'الافتراضات'!$D$118,0)</f>
        <v/>
      </c>
      <c r="W30" s="45">
        <f>IF(AND('الافتراضات'!$C$112=1,W7&gt;='الافتراضات'!$C$118),INDEX($C20:$BM20,1,W7-'الافتراضات'!$C$118+4)*'الافتراضات'!$D$118,0)</f>
        <v/>
      </c>
      <c r="X30" s="45">
        <f>IF(AND('الافتراضات'!$C$112=1,X7&gt;='الافتراضات'!$C$118),INDEX($C20:$BM20,1,X7-'الافتراضات'!$C$118+4)*'الافتراضات'!$D$118,0)</f>
        <v/>
      </c>
      <c r="Y30" s="45">
        <f>IF(AND('الافتراضات'!$C$112=1,Y7&gt;='الافتراضات'!$C$118),INDEX($C20:$BM20,1,Y7-'الافتراضات'!$C$118+4)*'الافتراضات'!$D$118,0)</f>
        <v/>
      </c>
      <c r="Z30" s="45">
        <f>IF(AND('الافتراضات'!$C$112=1,Z7&gt;='الافتراضات'!$C$118),INDEX($C20:$BM20,1,Z7-'الافتراضات'!$C$118+4)*'الافتراضات'!$D$118,0)</f>
        <v/>
      </c>
      <c r="AA30" s="45">
        <f>IF(AND('الافتراضات'!$C$112=1,AA7&gt;='الافتراضات'!$C$118),INDEX($C20:$BM20,1,AA7-'الافتراضات'!$C$118+4)*'الافتراضات'!$D$118,0)</f>
        <v/>
      </c>
      <c r="AB30" s="45">
        <f>IF(AND('الافتراضات'!$C$112=1,AB7&gt;='الافتراضات'!$C$118),INDEX($C20:$BM20,1,AB7-'الافتراضات'!$C$118+4)*'الافتراضات'!$D$118,0)</f>
        <v/>
      </c>
      <c r="AC30" s="45">
        <f>IF(AND('الافتراضات'!$C$112=1,AC7&gt;='الافتراضات'!$C$118),INDEX($C20:$BM20,1,AC7-'الافتراضات'!$C$118+4)*'الافتراضات'!$D$118,0)</f>
        <v/>
      </c>
      <c r="AD30" s="45">
        <f>IF(AND('الافتراضات'!$C$112=1,AD7&gt;='الافتراضات'!$C$118),INDEX($C20:$BM20,1,AD7-'الافتراضات'!$C$118+4)*'الافتراضات'!$D$118,0)</f>
        <v/>
      </c>
      <c r="AE30" s="45">
        <f>IF(AND('الافتراضات'!$C$112=1,AE7&gt;='الافتراضات'!$C$118),INDEX($C20:$BM20,1,AE7-'الافتراضات'!$C$118+4)*'الافتراضات'!$D$118,0)</f>
        <v/>
      </c>
      <c r="AF30" s="45">
        <f>IF(AND('الافتراضات'!$C$112=1,AF7&gt;='الافتراضات'!$C$118),INDEX($C20:$BM20,1,AF7-'الافتراضات'!$C$118+4)*'الافتراضات'!$D$118,0)</f>
        <v/>
      </c>
      <c r="AG30" s="45">
        <f>IF(AND('الافتراضات'!$C$112=1,AG7&gt;='الافتراضات'!$C$118),INDEX($C20:$BM20,1,AG7-'الافتراضات'!$C$118+4)*'الافتراضات'!$D$118,0)</f>
        <v/>
      </c>
      <c r="AH30" s="45">
        <f>IF(AND('الافتراضات'!$C$112=1,AH7&gt;='الافتراضات'!$C$118),INDEX($C20:$BM20,1,AH7-'الافتراضات'!$C$118+4)*'الافتراضات'!$D$118,0)</f>
        <v/>
      </c>
      <c r="AI30" s="45">
        <f>IF(AND('الافتراضات'!$C$112=1,AI7&gt;='الافتراضات'!$C$118),INDEX($C20:$BM20,1,AI7-'الافتراضات'!$C$118+4)*'الافتراضات'!$D$118,0)</f>
        <v/>
      </c>
      <c r="AJ30" s="45">
        <f>IF(AND('الافتراضات'!$C$112=1,AJ7&gt;='الافتراضات'!$C$118),INDEX($C20:$BM20,1,AJ7-'الافتراضات'!$C$118+4)*'الافتراضات'!$D$118,0)</f>
        <v/>
      </c>
      <c r="AK30" s="45">
        <f>IF(AND('الافتراضات'!$C$112=1,AK7&gt;='الافتراضات'!$C$118),INDEX($C20:$BM20,1,AK7-'الافتراضات'!$C$118+4)*'الافتراضات'!$D$118,0)</f>
        <v/>
      </c>
      <c r="AL30" s="45">
        <f>IF(AND('الافتراضات'!$C$112=1,AL7&gt;='الافتراضات'!$C$118),INDEX($C20:$BM20,1,AL7-'الافتراضات'!$C$118+4)*'الافتراضات'!$D$118,0)</f>
        <v/>
      </c>
      <c r="AM30" s="45">
        <f>IF(AND('الافتراضات'!$C$112=1,AM7&gt;='الافتراضات'!$C$118),INDEX($C20:$BM20,1,AM7-'الافتراضات'!$C$118+4)*'الافتراضات'!$D$118,0)</f>
        <v/>
      </c>
      <c r="AN30" s="45">
        <f>IF(AND('الافتراضات'!$C$112=1,AN7&gt;='الافتراضات'!$C$118),INDEX($C20:$BM20,1,AN7-'الافتراضات'!$C$118+4)*'الافتراضات'!$D$118,0)</f>
        <v/>
      </c>
      <c r="AO30" s="45">
        <f>IF(AND('الافتراضات'!$C$112=1,AO7&gt;='الافتراضات'!$C$118),INDEX($C20:$BM20,1,AO7-'الافتراضات'!$C$118+4)*'الافتراضات'!$D$118,0)</f>
        <v/>
      </c>
      <c r="AP30" s="45">
        <f>IF(AND('الافتراضات'!$C$112=1,AP7&gt;='الافتراضات'!$C$118),INDEX($C20:$BM20,1,AP7-'الافتراضات'!$C$118+4)*'الافتراضات'!$D$118,0)</f>
        <v/>
      </c>
      <c r="AQ30" s="45">
        <f>IF(AND('الافتراضات'!$C$112=1,AQ7&gt;='الافتراضات'!$C$118),INDEX($C20:$BM20,1,AQ7-'الافتراضات'!$C$118+4)*'الافتراضات'!$D$118,0)</f>
        <v/>
      </c>
      <c r="AR30" s="45">
        <f>IF(AND('الافتراضات'!$C$112=1,AR7&gt;='الافتراضات'!$C$118),INDEX($C20:$BM20,1,AR7-'الافتراضات'!$C$118+4)*'الافتراضات'!$D$118,0)</f>
        <v/>
      </c>
      <c r="AS30" s="45">
        <f>IF(AND('الافتراضات'!$C$112=1,AS7&gt;='الافتراضات'!$C$118),INDEX($C20:$BM20,1,AS7-'الافتراضات'!$C$118+4)*'الافتراضات'!$D$118,0)</f>
        <v/>
      </c>
      <c r="AT30" s="45">
        <f>IF(AND('الافتراضات'!$C$112=1,AT7&gt;='الافتراضات'!$C$118),INDEX($C20:$BM20,1,AT7-'الافتراضات'!$C$118+4)*'الافتراضات'!$D$118,0)</f>
        <v/>
      </c>
      <c r="AU30" s="45">
        <f>IF(AND('الافتراضات'!$C$112=1,AU7&gt;='الافتراضات'!$C$118),INDEX($C20:$BM20,1,AU7-'الافتراضات'!$C$118+4)*'الافتراضات'!$D$118,0)</f>
        <v/>
      </c>
      <c r="AV30" s="45">
        <f>IF(AND('الافتراضات'!$C$112=1,AV7&gt;='الافتراضات'!$C$118),INDEX($C20:$BM20,1,AV7-'الافتراضات'!$C$118+4)*'الافتراضات'!$D$118,0)</f>
        <v/>
      </c>
      <c r="AW30" s="45">
        <f>IF(AND('الافتراضات'!$C$112=1,AW7&gt;='الافتراضات'!$C$118),INDEX($C20:$BM20,1,AW7-'الافتراضات'!$C$118+4)*'الافتراضات'!$D$118,0)</f>
        <v/>
      </c>
      <c r="AX30" s="45">
        <f>IF(AND('الافتراضات'!$C$112=1,AX7&gt;='الافتراضات'!$C$118),INDEX($C20:$BM20,1,AX7-'الافتراضات'!$C$118+4)*'الافتراضات'!$D$118,0)</f>
        <v/>
      </c>
      <c r="AY30" s="45">
        <f>IF(AND('الافتراضات'!$C$112=1,AY7&gt;='الافتراضات'!$C$118),INDEX($C20:$BM20,1,AY7-'الافتراضات'!$C$118+4)*'الافتراضات'!$D$118,0)</f>
        <v/>
      </c>
      <c r="AZ30" s="45">
        <f>IF(AND('الافتراضات'!$C$112=1,AZ7&gt;='الافتراضات'!$C$118),INDEX($C20:$BM20,1,AZ7-'الافتراضات'!$C$118+4)*'الافتراضات'!$D$118,0)</f>
        <v/>
      </c>
      <c r="BA30" s="45">
        <f>IF(AND('الافتراضات'!$C$112=1,BA7&gt;='الافتراضات'!$C$118),INDEX($C20:$BM20,1,BA7-'الافتراضات'!$C$118+4)*'الافتراضات'!$D$118,0)</f>
        <v/>
      </c>
      <c r="BB30" s="45">
        <f>IF(AND('الافتراضات'!$C$112=1,BB7&gt;='الافتراضات'!$C$118),INDEX($C20:$BM20,1,BB7-'الافتراضات'!$C$118+4)*'الافتراضات'!$D$118,0)</f>
        <v/>
      </c>
      <c r="BC30" s="45">
        <f>IF(AND('الافتراضات'!$C$112=1,BC7&gt;='الافتراضات'!$C$118),INDEX($C20:$BM20,1,BC7-'الافتراضات'!$C$118+4)*'الافتراضات'!$D$118,0)</f>
        <v/>
      </c>
      <c r="BD30" s="45">
        <f>IF(AND('الافتراضات'!$C$112=1,BD7&gt;='الافتراضات'!$C$118),INDEX($C20:$BM20,1,BD7-'الافتراضات'!$C$118+4)*'الافتراضات'!$D$118,0)</f>
        <v/>
      </c>
      <c r="BE30" s="45">
        <f>IF(AND('الافتراضات'!$C$112=1,BE7&gt;='الافتراضات'!$C$118),INDEX($C20:$BM20,1,BE7-'الافتراضات'!$C$118+4)*'الافتراضات'!$D$118,0)</f>
        <v/>
      </c>
      <c r="BF30" s="45">
        <f>IF(AND('الافتراضات'!$C$112=1,BF7&gt;='الافتراضات'!$C$118),INDEX($C20:$BM20,1,BF7-'الافتراضات'!$C$118+4)*'الافتراضات'!$D$118,0)</f>
        <v/>
      </c>
      <c r="BG30" s="45">
        <f>IF(AND('الافتراضات'!$C$112=1,BG7&gt;='الافتراضات'!$C$118),INDEX($C20:$BM20,1,BG7-'الافتراضات'!$C$118+4)*'الافتراضات'!$D$118,0)</f>
        <v/>
      </c>
      <c r="BH30" s="45">
        <f>IF(AND('الافتراضات'!$C$112=1,BH7&gt;='الافتراضات'!$C$118),INDEX($C20:$BM20,1,BH7-'الافتراضات'!$C$118+4)*'الافتراضات'!$D$118,0)</f>
        <v/>
      </c>
      <c r="BI30" s="45">
        <f>IF(AND('الافتراضات'!$C$112=1,BI7&gt;='الافتراضات'!$C$118),INDEX($C20:$BM20,1,BI7-'الافتراضات'!$C$118+4)*'الافتراضات'!$D$118,0)</f>
        <v/>
      </c>
      <c r="BJ30" s="45">
        <f>IF(AND('الافتراضات'!$C$112=1,BJ7&gt;='الافتراضات'!$C$118),INDEX($C20:$BM20,1,BJ7-'الافتراضات'!$C$118+4)*'الافتراضات'!$D$118,0)</f>
        <v/>
      </c>
      <c r="BK30" s="45">
        <f>IF(AND('الافتراضات'!$C$112=1,BK7&gt;='الافتراضات'!$C$118),INDEX($C20:$BM20,1,BK7-'الافتراضات'!$C$118+4)*'الافتراضات'!$D$118,0)</f>
        <v/>
      </c>
      <c r="BL30" s="45">
        <f>IF(AND('الافتراضات'!$C$112=1,BL7&gt;='الافتراضات'!$C$118),INDEX($C20:$BM20,1,BL7-'الافتراضات'!$C$118+4)*'الافتراضات'!$D$118,0)</f>
        <v/>
      </c>
      <c r="BM30" s="45">
        <f>IF(AND('الافتراضات'!$C$112=1,BM7&gt;='الافتراضات'!$C$118),INDEX($C20:$BM20,1,BM7-'الافتراضات'!$C$118+4)*'الافتراضات'!$D$118,0)</f>
        <v/>
      </c>
    </row>
    <row r="31">
      <c r="A31" s="4" t="inlineStr">
        <is>
          <t>العملاء النشطون — الدلنجات</t>
        </is>
      </c>
      <c r="B31" s="22" t="inlineStr">
        <is>
          <t>#</t>
        </is>
      </c>
      <c r="C31" s="45">
        <f>IF(AND('الافتراضات'!$C$112=1,C7&gt;='الافتراضات'!$C$119),INDEX($C20:$BM20,1,C7-'الافتراضات'!$C$119+4)*'الافتراضات'!$D$119,0)</f>
        <v/>
      </c>
      <c r="D31" s="45">
        <f>IF(AND('الافتراضات'!$C$112=1,D7&gt;='الافتراضات'!$C$119),INDEX($C20:$BM20,1,D7-'الافتراضات'!$C$119+4)*'الافتراضات'!$D$119,0)</f>
        <v/>
      </c>
      <c r="E31" s="45">
        <f>IF(AND('الافتراضات'!$C$112=1,E7&gt;='الافتراضات'!$C$119),INDEX($C20:$BM20,1,E7-'الافتراضات'!$C$119+4)*'الافتراضات'!$D$119,0)</f>
        <v/>
      </c>
      <c r="F31" s="45">
        <f>IF(AND('الافتراضات'!$C$112=1,F7&gt;='الافتراضات'!$C$119),INDEX($C20:$BM20,1,F7-'الافتراضات'!$C$119+4)*'الافتراضات'!$D$119,0)</f>
        <v/>
      </c>
      <c r="G31" s="45">
        <f>IF(AND('الافتراضات'!$C$112=1,G7&gt;='الافتراضات'!$C$119),INDEX($C20:$BM20,1,G7-'الافتراضات'!$C$119+4)*'الافتراضات'!$D$119,0)</f>
        <v/>
      </c>
      <c r="H31" s="45">
        <f>IF(AND('الافتراضات'!$C$112=1,H7&gt;='الافتراضات'!$C$119),INDEX($C20:$BM20,1,H7-'الافتراضات'!$C$119+4)*'الافتراضات'!$D$119,0)</f>
        <v/>
      </c>
      <c r="I31" s="45">
        <f>IF(AND('الافتراضات'!$C$112=1,I7&gt;='الافتراضات'!$C$119),INDEX($C20:$BM20,1,I7-'الافتراضات'!$C$119+4)*'الافتراضات'!$D$119,0)</f>
        <v/>
      </c>
      <c r="J31" s="45">
        <f>IF(AND('الافتراضات'!$C$112=1,J7&gt;='الافتراضات'!$C$119),INDEX($C20:$BM20,1,J7-'الافتراضات'!$C$119+4)*'الافتراضات'!$D$119,0)</f>
        <v/>
      </c>
      <c r="K31" s="45">
        <f>IF(AND('الافتراضات'!$C$112=1,K7&gt;='الافتراضات'!$C$119),INDEX($C20:$BM20,1,K7-'الافتراضات'!$C$119+4)*'الافتراضات'!$D$119,0)</f>
        <v/>
      </c>
      <c r="L31" s="45">
        <f>IF(AND('الافتراضات'!$C$112=1,L7&gt;='الافتراضات'!$C$119),INDEX($C20:$BM20,1,L7-'الافتراضات'!$C$119+4)*'الافتراضات'!$D$119,0)</f>
        <v/>
      </c>
      <c r="M31" s="45">
        <f>IF(AND('الافتراضات'!$C$112=1,M7&gt;='الافتراضات'!$C$119),INDEX($C20:$BM20,1,M7-'الافتراضات'!$C$119+4)*'الافتراضات'!$D$119,0)</f>
        <v/>
      </c>
      <c r="N31" s="45">
        <f>IF(AND('الافتراضات'!$C$112=1,N7&gt;='الافتراضات'!$C$119),INDEX($C20:$BM20,1,N7-'الافتراضات'!$C$119+4)*'الافتراضات'!$D$119,0)</f>
        <v/>
      </c>
      <c r="O31" s="45">
        <f>IF(AND('الافتراضات'!$C$112=1,O7&gt;='الافتراضات'!$C$119),INDEX($C20:$BM20,1,O7-'الافتراضات'!$C$119+4)*'الافتراضات'!$D$119,0)</f>
        <v/>
      </c>
      <c r="P31" s="45">
        <f>IF(AND('الافتراضات'!$C$112=1,P7&gt;='الافتراضات'!$C$119),INDEX($C20:$BM20,1,P7-'الافتراضات'!$C$119+4)*'الافتراضات'!$D$119,0)</f>
        <v/>
      </c>
      <c r="Q31" s="45">
        <f>IF(AND('الافتراضات'!$C$112=1,Q7&gt;='الافتراضات'!$C$119),INDEX($C20:$BM20,1,Q7-'الافتراضات'!$C$119+4)*'الافتراضات'!$D$119,0)</f>
        <v/>
      </c>
      <c r="R31" s="45">
        <f>IF(AND('الافتراضات'!$C$112=1,R7&gt;='الافتراضات'!$C$119),INDEX($C20:$BM20,1,R7-'الافتراضات'!$C$119+4)*'الافتراضات'!$D$119,0)</f>
        <v/>
      </c>
      <c r="S31" s="45">
        <f>IF(AND('الافتراضات'!$C$112=1,S7&gt;='الافتراضات'!$C$119),INDEX($C20:$BM20,1,S7-'الافتراضات'!$C$119+4)*'الافتراضات'!$D$119,0)</f>
        <v/>
      </c>
      <c r="T31" s="45">
        <f>IF(AND('الافتراضات'!$C$112=1,T7&gt;='الافتراضات'!$C$119),INDEX($C20:$BM20,1,T7-'الافتراضات'!$C$119+4)*'الافتراضات'!$D$119,0)</f>
        <v/>
      </c>
      <c r="U31" s="45">
        <f>IF(AND('الافتراضات'!$C$112=1,U7&gt;='الافتراضات'!$C$119),INDEX($C20:$BM20,1,U7-'الافتراضات'!$C$119+4)*'الافتراضات'!$D$119,0)</f>
        <v/>
      </c>
      <c r="V31" s="45">
        <f>IF(AND('الافتراضات'!$C$112=1,V7&gt;='الافتراضات'!$C$119),INDEX($C20:$BM20,1,V7-'الافتراضات'!$C$119+4)*'الافتراضات'!$D$119,0)</f>
        <v/>
      </c>
      <c r="W31" s="45">
        <f>IF(AND('الافتراضات'!$C$112=1,W7&gt;='الافتراضات'!$C$119),INDEX($C20:$BM20,1,W7-'الافتراضات'!$C$119+4)*'الافتراضات'!$D$119,0)</f>
        <v/>
      </c>
      <c r="X31" s="45">
        <f>IF(AND('الافتراضات'!$C$112=1,X7&gt;='الافتراضات'!$C$119),INDEX($C20:$BM20,1,X7-'الافتراضات'!$C$119+4)*'الافتراضات'!$D$119,0)</f>
        <v/>
      </c>
      <c r="Y31" s="45">
        <f>IF(AND('الافتراضات'!$C$112=1,Y7&gt;='الافتراضات'!$C$119),INDEX($C20:$BM20,1,Y7-'الافتراضات'!$C$119+4)*'الافتراضات'!$D$119,0)</f>
        <v/>
      </c>
      <c r="Z31" s="45">
        <f>IF(AND('الافتراضات'!$C$112=1,Z7&gt;='الافتراضات'!$C$119),INDEX($C20:$BM20,1,Z7-'الافتراضات'!$C$119+4)*'الافتراضات'!$D$119,0)</f>
        <v/>
      </c>
      <c r="AA31" s="45">
        <f>IF(AND('الافتراضات'!$C$112=1,AA7&gt;='الافتراضات'!$C$119),INDEX($C20:$BM20,1,AA7-'الافتراضات'!$C$119+4)*'الافتراضات'!$D$119,0)</f>
        <v/>
      </c>
      <c r="AB31" s="45">
        <f>IF(AND('الافتراضات'!$C$112=1,AB7&gt;='الافتراضات'!$C$119),INDEX($C20:$BM20,1,AB7-'الافتراضات'!$C$119+4)*'الافتراضات'!$D$119,0)</f>
        <v/>
      </c>
      <c r="AC31" s="45">
        <f>IF(AND('الافتراضات'!$C$112=1,AC7&gt;='الافتراضات'!$C$119),INDEX($C20:$BM20,1,AC7-'الافتراضات'!$C$119+4)*'الافتراضات'!$D$119,0)</f>
        <v/>
      </c>
      <c r="AD31" s="45">
        <f>IF(AND('الافتراضات'!$C$112=1,AD7&gt;='الافتراضات'!$C$119),INDEX($C20:$BM20,1,AD7-'الافتراضات'!$C$119+4)*'الافتراضات'!$D$119,0)</f>
        <v/>
      </c>
      <c r="AE31" s="45">
        <f>IF(AND('الافتراضات'!$C$112=1,AE7&gt;='الافتراضات'!$C$119),INDEX($C20:$BM20,1,AE7-'الافتراضات'!$C$119+4)*'الافتراضات'!$D$119,0)</f>
        <v/>
      </c>
      <c r="AF31" s="45">
        <f>IF(AND('الافتراضات'!$C$112=1,AF7&gt;='الافتراضات'!$C$119),INDEX($C20:$BM20,1,AF7-'الافتراضات'!$C$119+4)*'الافتراضات'!$D$119,0)</f>
        <v/>
      </c>
      <c r="AG31" s="45">
        <f>IF(AND('الافتراضات'!$C$112=1,AG7&gt;='الافتراضات'!$C$119),INDEX($C20:$BM20,1,AG7-'الافتراضات'!$C$119+4)*'الافتراضات'!$D$119,0)</f>
        <v/>
      </c>
      <c r="AH31" s="45">
        <f>IF(AND('الافتراضات'!$C$112=1,AH7&gt;='الافتراضات'!$C$119),INDEX($C20:$BM20,1,AH7-'الافتراضات'!$C$119+4)*'الافتراضات'!$D$119,0)</f>
        <v/>
      </c>
      <c r="AI31" s="45">
        <f>IF(AND('الافتراضات'!$C$112=1,AI7&gt;='الافتراضات'!$C$119),INDEX($C20:$BM20,1,AI7-'الافتراضات'!$C$119+4)*'الافتراضات'!$D$119,0)</f>
        <v/>
      </c>
      <c r="AJ31" s="45">
        <f>IF(AND('الافتراضات'!$C$112=1,AJ7&gt;='الافتراضات'!$C$119),INDEX($C20:$BM20,1,AJ7-'الافتراضات'!$C$119+4)*'الافتراضات'!$D$119,0)</f>
        <v/>
      </c>
      <c r="AK31" s="45">
        <f>IF(AND('الافتراضات'!$C$112=1,AK7&gt;='الافتراضات'!$C$119),INDEX($C20:$BM20,1,AK7-'الافتراضات'!$C$119+4)*'الافتراضات'!$D$119,0)</f>
        <v/>
      </c>
      <c r="AL31" s="45">
        <f>IF(AND('الافتراضات'!$C$112=1,AL7&gt;='الافتراضات'!$C$119),INDEX($C20:$BM20,1,AL7-'الافتراضات'!$C$119+4)*'الافتراضات'!$D$119,0)</f>
        <v/>
      </c>
      <c r="AM31" s="45">
        <f>IF(AND('الافتراضات'!$C$112=1,AM7&gt;='الافتراضات'!$C$119),INDEX($C20:$BM20,1,AM7-'الافتراضات'!$C$119+4)*'الافتراضات'!$D$119,0)</f>
        <v/>
      </c>
      <c r="AN31" s="45">
        <f>IF(AND('الافتراضات'!$C$112=1,AN7&gt;='الافتراضات'!$C$119),INDEX($C20:$BM20,1,AN7-'الافتراضات'!$C$119+4)*'الافتراضات'!$D$119,0)</f>
        <v/>
      </c>
      <c r="AO31" s="45">
        <f>IF(AND('الافتراضات'!$C$112=1,AO7&gt;='الافتراضات'!$C$119),INDEX($C20:$BM20,1,AO7-'الافتراضات'!$C$119+4)*'الافتراضات'!$D$119,0)</f>
        <v/>
      </c>
      <c r="AP31" s="45">
        <f>IF(AND('الافتراضات'!$C$112=1,AP7&gt;='الافتراضات'!$C$119),INDEX($C20:$BM20,1,AP7-'الافتراضات'!$C$119+4)*'الافتراضات'!$D$119,0)</f>
        <v/>
      </c>
      <c r="AQ31" s="45">
        <f>IF(AND('الافتراضات'!$C$112=1,AQ7&gt;='الافتراضات'!$C$119),INDEX($C20:$BM20,1,AQ7-'الافتراضات'!$C$119+4)*'الافتراضات'!$D$119,0)</f>
        <v/>
      </c>
      <c r="AR31" s="45">
        <f>IF(AND('الافتراضات'!$C$112=1,AR7&gt;='الافتراضات'!$C$119),INDEX($C20:$BM20,1,AR7-'الافتراضات'!$C$119+4)*'الافتراضات'!$D$119,0)</f>
        <v/>
      </c>
      <c r="AS31" s="45">
        <f>IF(AND('الافتراضات'!$C$112=1,AS7&gt;='الافتراضات'!$C$119),INDEX($C20:$BM20,1,AS7-'الافتراضات'!$C$119+4)*'الافتراضات'!$D$119,0)</f>
        <v/>
      </c>
      <c r="AT31" s="45">
        <f>IF(AND('الافتراضات'!$C$112=1,AT7&gt;='الافتراضات'!$C$119),INDEX($C20:$BM20,1,AT7-'الافتراضات'!$C$119+4)*'الافتراضات'!$D$119,0)</f>
        <v/>
      </c>
      <c r="AU31" s="45">
        <f>IF(AND('الافتراضات'!$C$112=1,AU7&gt;='الافتراضات'!$C$119),INDEX($C20:$BM20,1,AU7-'الافتراضات'!$C$119+4)*'الافتراضات'!$D$119,0)</f>
        <v/>
      </c>
      <c r="AV31" s="45">
        <f>IF(AND('الافتراضات'!$C$112=1,AV7&gt;='الافتراضات'!$C$119),INDEX($C20:$BM20,1,AV7-'الافتراضات'!$C$119+4)*'الافتراضات'!$D$119,0)</f>
        <v/>
      </c>
      <c r="AW31" s="45">
        <f>IF(AND('الافتراضات'!$C$112=1,AW7&gt;='الافتراضات'!$C$119),INDEX($C20:$BM20,1,AW7-'الافتراضات'!$C$119+4)*'الافتراضات'!$D$119,0)</f>
        <v/>
      </c>
      <c r="AX31" s="45">
        <f>IF(AND('الافتراضات'!$C$112=1,AX7&gt;='الافتراضات'!$C$119),INDEX($C20:$BM20,1,AX7-'الافتراضات'!$C$119+4)*'الافتراضات'!$D$119,0)</f>
        <v/>
      </c>
      <c r="AY31" s="45">
        <f>IF(AND('الافتراضات'!$C$112=1,AY7&gt;='الافتراضات'!$C$119),INDEX($C20:$BM20,1,AY7-'الافتراضات'!$C$119+4)*'الافتراضات'!$D$119,0)</f>
        <v/>
      </c>
      <c r="AZ31" s="45">
        <f>IF(AND('الافتراضات'!$C$112=1,AZ7&gt;='الافتراضات'!$C$119),INDEX($C20:$BM20,1,AZ7-'الافتراضات'!$C$119+4)*'الافتراضات'!$D$119,0)</f>
        <v/>
      </c>
      <c r="BA31" s="45">
        <f>IF(AND('الافتراضات'!$C$112=1,BA7&gt;='الافتراضات'!$C$119),INDEX($C20:$BM20,1,BA7-'الافتراضات'!$C$119+4)*'الافتراضات'!$D$119,0)</f>
        <v/>
      </c>
      <c r="BB31" s="45">
        <f>IF(AND('الافتراضات'!$C$112=1,BB7&gt;='الافتراضات'!$C$119),INDEX($C20:$BM20,1,BB7-'الافتراضات'!$C$119+4)*'الافتراضات'!$D$119,0)</f>
        <v/>
      </c>
      <c r="BC31" s="45">
        <f>IF(AND('الافتراضات'!$C$112=1,BC7&gt;='الافتراضات'!$C$119),INDEX($C20:$BM20,1,BC7-'الافتراضات'!$C$119+4)*'الافتراضات'!$D$119,0)</f>
        <v/>
      </c>
      <c r="BD31" s="45">
        <f>IF(AND('الافتراضات'!$C$112=1,BD7&gt;='الافتراضات'!$C$119),INDEX($C20:$BM20,1,BD7-'الافتراضات'!$C$119+4)*'الافتراضات'!$D$119,0)</f>
        <v/>
      </c>
      <c r="BE31" s="45">
        <f>IF(AND('الافتراضات'!$C$112=1,BE7&gt;='الافتراضات'!$C$119),INDEX($C20:$BM20,1,BE7-'الافتراضات'!$C$119+4)*'الافتراضات'!$D$119,0)</f>
        <v/>
      </c>
      <c r="BF31" s="45">
        <f>IF(AND('الافتراضات'!$C$112=1,BF7&gt;='الافتراضات'!$C$119),INDEX($C20:$BM20,1,BF7-'الافتراضات'!$C$119+4)*'الافتراضات'!$D$119,0)</f>
        <v/>
      </c>
      <c r="BG31" s="45">
        <f>IF(AND('الافتراضات'!$C$112=1,BG7&gt;='الافتراضات'!$C$119),INDEX($C20:$BM20,1,BG7-'الافتراضات'!$C$119+4)*'الافتراضات'!$D$119,0)</f>
        <v/>
      </c>
      <c r="BH31" s="45">
        <f>IF(AND('الافتراضات'!$C$112=1,BH7&gt;='الافتراضات'!$C$119),INDEX($C20:$BM20,1,BH7-'الافتراضات'!$C$119+4)*'الافتراضات'!$D$119,0)</f>
        <v/>
      </c>
      <c r="BI31" s="45">
        <f>IF(AND('الافتراضات'!$C$112=1,BI7&gt;='الافتراضات'!$C$119),INDEX($C20:$BM20,1,BI7-'الافتراضات'!$C$119+4)*'الافتراضات'!$D$119,0)</f>
        <v/>
      </c>
      <c r="BJ31" s="45">
        <f>IF(AND('الافتراضات'!$C$112=1,BJ7&gt;='الافتراضات'!$C$119),INDEX($C20:$BM20,1,BJ7-'الافتراضات'!$C$119+4)*'الافتراضات'!$D$119,0)</f>
        <v/>
      </c>
      <c r="BK31" s="45">
        <f>IF(AND('الافتراضات'!$C$112=1,BK7&gt;='الافتراضات'!$C$119),INDEX($C20:$BM20,1,BK7-'الافتراضات'!$C$119+4)*'الافتراضات'!$D$119,0)</f>
        <v/>
      </c>
      <c r="BL31" s="45">
        <f>IF(AND('الافتراضات'!$C$112=1,BL7&gt;='الافتراضات'!$C$119),INDEX($C20:$BM20,1,BL7-'الافتراضات'!$C$119+4)*'الافتراضات'!$D$119,0)</f>
        <v/>
      </c>
      <c r="BM31" s="45">
        <f>IF(AND('الافتراضات'!$C$112=1,BM7&gt;='الافتراضات'!$C$119),INDEX($C20:$BM20,1,BM7-'الافتراضات'!$C$119+4)*'الافتراضات'!$D$119,0)</f>
        <v/>
      </c>
    </row>
    <row r="32">
      <c r="A32" s="4" t="inlineStr">
        <is>
          <t>العملاء النشطون — كوم حمادة</t>
        </is>
      </c>
      <c r="B32" s="22" t="inlineStr">
        <is>
          <t>#</t>
        </is>
      </c>
      <c r="C32" s="45">
        <f>IF(AND('الافتراضات'!$C$112=1,C7&gt;='الافتراضات'!$C$120),INDEX($C20:$BM20,1,C7-'الافتراضات'!$C$120+4)*'الافتراضات'!$D$120,0)</f>
        <v/>
      </c>
      <c r="D32" s="45">
        <f>IF(AND('الافتراضات'!$C$112=1,D7&gt;='الافتراضات'!$C$120),INDEX($C20:$BM20,1,D7-'الافتراضات'!$C$120+4)*'الافتراضات'!$D$120,0)</f>
        <v/>
      </c>
      <c r="E32" s="45">
        <f>IF(AND('الافتراضات'!$C$112=1,E7&gt;='الافتراضات'!$C$120),INDEX($C20:$BM20,1,E7-'الافتراضات'!$C$120+4)*'الافتراضات'!$D$120,0)</f>
        <v/>
      </c>
      <c r="F32" s="45">
        <f>IF(AND('الافتراضات'!$C$112=1,F7&gt;='الافتراضات'!$C$120),INDEX($C20:$BM20,1,F7-'الافتراضات'!$C$120+4)*'الافتراضات'!$D$120,0)</f>
        <v/>
      </c>
      <c r="G32" s="45">
        <f>IF(AND('الافتراضات'!$C$112=1,G7&gt;='الافتراضات'!$C$120),INDEX($C20:$BM20,1,G7-'الافتراضات'!$C$120+4)*'الافتراضات'!$D$120,0)</f>
        <v/>
      </c>
      <c r="H32" s="45">
        <f>IF(AND('الافتراضات'!$C$112=1,H7&gt;='الافتراضات'!$C$120),INDEX($C20:$BM20,1,H7-'الافتراضات'!$C$120+4)*'الافتراضات'!$D$120,0)</f>
        <v/>
      </c>
      <c r="I32" s="45">
        <f>IF(AND('الافتراضات'!$C$112=1,I7&gt;='الافتراضات'!$C$120),INDEX($C20:$BM20,1,I7-'الافتراضات'!$C$120+4)*'الافتراضات'!$D$120,0)</f>
        <v/>
      </c>
      <c r="J32" s="45">
        <f>IF(AND('الافتراضات'!$C$112=1,J7&gt;='الافتراضات'!$C$120),INDEX($C20:$BM20,1,J7-'الافتراضات'!$C$120+4)*'الافتراضات'!$D$120,0)</f>
        <v/>
      </c>
      <c r="K32" s="45">
        <f>IF(AND('الافتراضات'!$C$112=1,K7&gt;='الافتراضات'!$C$120),INDEX($C20:$BM20,1,K7-'الافتراضات'!$C$120+4)*'الافتراضات'!$D$120,0)</f>
        <v/>
      </c>
      <c r="L32" s="45">
        <f>IF(AND('الافتراضات'!$C$112=1,L7&gt;='الافتراضات'!$C$120),INDEX($C20:$BM20,1,L7-'الافتراضات'!$C$120+4)*'الافتراضات'!$D$120,0)</f>
        <v/>
      </c>
      <c r="M32" s="45">
        <f>IF(AND('الافتراضات'!$C$112=1,M7&gt;='الافتراضات'!$C$120),INDEX($C20:$BM20,1,M7-'الافتراضات'!$C$120+4)*'الافتراضات'!$D$120,0)</f>
        <v/>
      </c>
      <c r="N32" s="45">
        <f>IF(AND('الافتراضات'!$C$112=1,N7&gt;='الافتراضات'!$C$120),INDEX($C20:$BM20,1,N7-'الافتراضات'!$C$120+4)*'الافتراضات'!$D$120,0)</f>
        <v/>
      </c>
      <c r="O32" s="45">
        <f>IF(AND('الافتراضات'!$C$112=1,O7&gt;='الافتراضات'!$C$120),INDEX($C20:$BM20,1,O7-'الافتراضات'!$C$120+4)*'الافتراضات'!$D$120,0)</f>
        <v/>
      </c>
      <c r="P32" s="45">
        <f>IF(AND('الافتراضات'!$C$112=1,P7&gt;='الافتراضات'!$C$120),INDEX($C20:$BM20,1,P7-'الافتراضات'!$C$120+4)*'الافتراضات'!$D$120,0)</f>
        <v/>
      </c>
      <c r="Q32" s="45">
        <f>IF(AND('الافتراضات'!$C$112=1,Q7&gt;='الافتراضات'!$C$120),INDEX($C20:$BM20,1,Q7-'الافتراضات'!$C$120+4)*'الافتراضات'!$D$120,0)</f>
        <v/>
      </c>
      <c r="R32" s="45">
        <f>IF(AND('الافتراضات'!$C$112=1,R7&gt;='الافتراضات'!$C$120),INDEX($C20:$BM20,1,R7-'الافتراضات'!$C$120+4)*'الافتراضات'!$D$120,0)</f>
        <v/>
      </c>
      <c r="S32" s="45">
        <f>IF(AND('الافتراضات'!$C$112=1,S7&gt;='الافتراضات'!$C$120),INDEX($C20:$BM20,1,S7-'الافتراضات'!$C$120+4)*'الافتراضات'!$D$120,0)</f>
        <v/>
      </c>
      <c r="T32" s="45">
        <f>IF(AND('الافتراضات'!$C$112=1,T7&gt;='الافتراضات'!$C$120),INDEX($C20:$BM20,1,T7-'الافتراضات'!$C$120+4)*'الافتراضات'!$D$120,0)</f>
        <v/>
      </c>
      <c r="U32" s="45">
        <f>IF(AND('الافتراضات'!$C$112=1,U7&gt;='الافتراضات'!$C$120),INDEX($C20:$BM20,1,U7-'الافتراضات'!$C$120+4)*'الافتراضات'!$D$120,0)</f>
        <v/>
      </c>
      <c r="V32" s="45">
        <f>IF(AND('الافتراضات'!$C$112=1,V7&gt;='الافتراضات'!$C$120),INDEX($C20:$BM20,1,V7-'الافتراضات'!$C$120+4)*'الافتراضات'!$D$120,0)</f>
        <v/>
      </c>
      <c r="W32" s="45">
        <f>IF(AND('الافتراضات'!$C$112=1,W7&gt;='الافتراضات'!$C$120),INDEX($C20:$BM20,1,W7-'الافتراضات'!$C$120+4)*'الافتراضات'!$D$120,0)</f>
        <v/>
      </c>
      <c r="X32" s="45">
        <f>IF(AND('الافتراضات'!$C$112=1,X7&gt;='الافتراضات'!$C$120),INDEX($C20:$BM20,1,X7-'الافتراضات'!$C$120+4)*'الافتراضات'!$D$120,0)</f>
        <v/>
      </c>
      <c r="Y32" s="45">
        <f>IF(AND('الافتراضات'!$C$112=1,Y7&gt;='الافتراضات'!$C$120),INDEX($C20:$BM20,1,Y7-'الافتراضات'!$C$120+4)*'الافتراضات'!$D$120,0)</f>
        <v/>
      </c>
      <c r="Z32" s="45">
        <f>IF(AND('الافتراضات'!$C$112=1,Z7&gt;='الافتراضات'!$C$120),INDEX($C20:$BM20,1,Z7-'الافتراضات'!$C$120+4)*'الافتراضات'!$D$120,0)</f>
        <v/>
      </c>
      <c r="AA32" s="45">
        <f>IF(AND('الافتراضات'!$C$112=1,AA7&gt;='الافتراضات'!$C$120),INDEX($C20:$BM20,1,AA7-'الافتراضات'!$C$120+4)*'الافتراضات'!$D$120,0)</f>
        <v/>
      </c>
      <c r="AB32" s="45">
        <f>IF(AND('الافتراضات'!$C$112=1,AB7&gt;='الافتراضات'!$C$120),INDEX($C20:$BM20,1,AB7-'الافتراضات'!$C$120+4)*'الافتراضات'!$D$120,0)</f>
        <v/>
      </c>
      <c r="AC32" s="45">
        <f>IF(AND('الافتراضات'!$C$112=1,AC7&gt;='الافتراضات'!$C$120),INDEX($C20:$BM20,1,AC7-'الافتراضات'!$C$120+4)*'الافتراضات'!$D$120,0)</f>
        <v/>
      </c>
      <c r="AD32" s="45">
        <f>IF(AND('الافتراضات'!$C$112=1,AD7&gt;='الافتراضات'!$C$120),INDEX($C20:$BM20,1,AD7-'الافتراضات'!$C$120+4)*'الافتراضات'!$D$120,0)</f>
        <v/>
      </c>
      <c r="AE32" s="45">
        <f>IF(AND('الافتراضات'!$C$112=1,AE7&gt;='الافتراضات'!$C$120),INDEX($C20:$BM20,1,AE7-'الافتراضات'!$C$120+4)*'الافتراضات'!$D$120,0)</f>
        <v/>
      </c>
      <c r="AF32" s="45">
        <f>IF(AND('الافتراضات'!$C$112=1,AF7&gt;='الافتراضات'!$C$120),INDEX($C20:$BM20,1,AF7-'الافتراضات'!$C$120+4)*'الافتراضات'!$D$120,0)</f>
        <v/>
      </c>
      <c r="AG32" s="45">
        <f>IF(AND('الافتراضات'!$C$112=1,AG7&gt;='الافتراضات'!$C$120),INDEX($C20:$BM20,1,AG7-'الافتراضات'!$C$120+4)*'الافتراضات'!$D$120,0)</f>
        <v/>
      </c>
      <c r="AH32" s="45">
        <f>IF(AND('الافتراضات'!$C$112=1,AH7&gt;='الافتراضات'!$C$120),INDEX($C20:$BM20,1,AH7-'الافتراضات'!$C$120+4)*'الافتراضات'!$D$120,0)</f>
        <v/>
      </c>
      <c r="AI32" s="45">
        <f>IF(AND('الافتراضات'!$C$112=1,AI7&gt;='الافتراضات'!$C$120),INDEX($C20:$BM20,1,AI7-'الافتراضات'!$C$120+4)*'الافتراضات'!$D$120,0)</f>
        <v/>
      </c>
      <c r="AJ32" s="45">
        <f>IF(AND('الافتراضات'!$C$112=1,AJ7&gt;='الافتراضات'!$C$120),INDEX($C20:$BM20,1,AJ7-'الافتراضات'!$C$120+4)*'الافتراضات'!$D$120,0)</f>
        <v/>
      </c>
      <c r="AK32" s="45">
        <f>IF(AND('الافتراضات'!$C$112=1,AK7&gt;='الافتراضات'!$C$120),INDEX($C20:$BM20,1,AK7-'الافتراضات'!$C$120+4)*'الافتراضات'!$D$120,0)</f>
        <v/>
      </c>
      <c r="AL32" s="45">
        <f>IF(AND('الافتراضات'!$C$112=1,AL7&gt;='الافتراضات'!$C$120),INDEX($C20:$BM20,1,AL7-'الافتراضات'!$C$120+4)*'الافتراضات'!$D$120,0)</f>
        <v/>
      </c>
      <c r="AM32" s="45">
        <f>IF(AND('الافتراضات'!$C$112=1,AM7&gt;='الافتراضات'!$C$120),INDEX($C20:$BM20,1,AM7-'الافتراضات'!$C$120+4)*'الافتراضات'!$D$120,0)</f>
        <v/>
      </c>
      <c r="AN32" s="45">
        <f>IF(AND('الافتراضات'!$C$112=1,AN7&gt;='الافتراضات'!$C$120),INDEX($C20:$BM20,1,AN7-'الافتراضات'!$C$120+4)*'الافتراضات'!$D$120,0)</f>
        <v/>
      </c>
      <c r="AO32" s="45">
        <f>IF(AND('الافتراضات'!$C$112=1,AO7&gt;='الافتراضات'!$C$120),INDEX($C20:$BM20,1,AO7-'الافتراضات'!$C$120+4)*'الافتراضات'!$D$120,0)</f>
        <v/>
      </c>
      <c r="AP32" s="45">
        <f>IF(AND('الافتراضات'!$C$112=1,AP7&gt;='الافتراضات'!$C$120),INDEX($C20:$BM20,1,AP7-'الافتراضات'!$C$120+4)*'الافتراضات'!$D$120,0)</f>
        <v/>
      </c>
      <c r="AQ32" s="45">
        <f>IF(AND('الافتراضات'!$C$112=1,AQ7&gt;='الافتراضات'!$C$120),INDEX($C20:$BM20,1,AQ7-'الافتراضات'!$C$120+4)*'الافتراضات'!$D$120,0)</f>
        <v/>
      </c>
      <c r="AR32" s="45">
        <f>IF(AND('الافتراضات'!$C$112=1,AR7&gt;='الافتراضات'!$C$120),INDEX($C20:$BM20,1,AR7-'الافتراضات'!$C$120+4)*'الافتراضات'!$D$120,0)</f>
        <v/>
      </c>
      <c r="AS32" s="45">
        <f>IF(AND('الافتراضات'!$C$112=1,AS7&gt;='الافتراضات'!$C$120),INDEX($C20:$BM20,1,AS7-'الافتراضات'!$C$120+4)*'الافتراضات'!$D$120,0)</f>
        <v/>
      </c>
      <c r="AT32" s="45">
        <f>IF(AND('الافتراضات'!$C$112=1,AT7&gt;='الافتراضات'!$C$120),INDEX($C20:$BM20,1,AT7-'الافتراضات'!$C$120+4)*'الافتراضات'!$D$120,0)</f>
        <v/>
      </c>
      <c r="AU32" s="45">
        <f>IF(AND('الافتراضات'!$C$112=1,AU7&gt;='الافتراضات'!$C$120),INDEX($C20:$BM20,1,AU7-'الافتراضات'!$C$120+4)*'الافتراضات'!$D$120,0)</f>
        <v/>
      </c>
      <c r="AV32" s="45">
        <f>IF(AND('الافتراضات'!$C$112=1,AV7&gt;='الافتراضات'!$C$120),INDEX($C20:$BM20,1,AV7-'الافتراضات'!$C$120+4)*'الافتراضات'!$D$120,0)</f>
        <v/>
      </c>
      <c r="AW32" s="45">
        <f>IF(AND('الافتراضات'!$C$112=1,AW7&gt;='الافتراضات'!$C$120),INDEX($C20:$BM20,1,AW7-'الافتراضات'!$C$120+4)*'الافتراضات'!$D$120,0)</f>
        <v/>
      </c>
      <c r="AX32" s="45">
        <f>IF(AND('الافتراضات'!$C$112=1,AX7&gt;='الافتراضات'!$C$120),INDEX($C20:$BM20,1,AX7-'الافتراضات'!$C$120+4)*'الافتراضات'!$D$120,0)</f>
        <v/>
      </c>
      <c r="AY32" s="45">
        <f>IF(AND('الافتراضات'!$C$112=1,AY7&gt;='الافتراضات'!$C$120),INDEX($C20:$BM20,1,AY7-'الافتراضات'!$C$120+4)*'الافتراضات'!$D$120,0)</f>
        <v/>
      </c>
      <c r="AZ32" s="45">
        <f>IF(AND('الافتراضات'!$C$112=1,AZ7&gt;='الافتراضات'!$C$120),INDEX($C20:$BM20,1,AZ7-'الافتراضات'!$C$120+4)*'الافتراضات'!$D$120,0)</f>
        <v/>
      </c>
      <c r="BA32" s="45">
        <f>IF(AND('الافتراضات'!$C$112=1,BA7&gt;='الافتراضات'!$C$120),INDEX($C20:$BM20,1,BA7-'الافتراضات'!$C$120+4)*'الافتراضات'!$D$120,0)</f>
        <v/>
      </c>
      <c r="BB32" s="45">
        <f>IF(AND('الافتراضات'!$C$112=1,BB7&gt;='الافتراضات'!$C$120),INDEX($C20:$BM20,1,BB7-'الافتراضات'!$C$120+4)*'الافتراضات'!$D$120,0)</f>
        <v/>
      </c>
      <c r="BC32" s="45">
        <f>IF(AND('الافتراضات'!$C$112=1,BC7&gt;='الافتراضات'!$C$120),INDEX($C20:$BM20,1,BC7-'الافتراضات'!$C$120+4)*'الافتراضات'!$D$120,0)</f>
        <v/>
      </c>
      <c r="BD32" s="45">
        <f>IF(AND('الافتراضات'!$C$112=1,BD7&gt;='الافتراضات'!$C$120),INDEX($C20:$BM20,1,BD7-'الافتراضات'!$C$120+4)*'الافتراضات'!$D$120,0)</f>
        <v/>
      </c>
      <c r="BE32" s="45">
        <f>IF(AND('الافتراضات'!$C$112=1,BE7&gt;='الافتراضات'!$C$120),INDEX($C20:$BM20,1,BE7-'الافتراضات'!$C$120+4)*'الافتراضات'!$D$120,0)</f>
        <v/>
      </c>
      <c r="BF32" s="45">
        <f>IF(AND('الافتراضات'!$C$112=1,BF7&gt;='الافتراضات'!$C$120),INDEX($C20:$BM20,1,BF7-'الافتراضات'!$C$120+4)*'الافتراضات'!$D$120,0)</f>
        <v/>
      </c>
      <c r="BG32" s="45">
        <f>IF(AND('الافتراضات'!$C$112=1,BG7&gt;='الافتراضات'!$C$120),INDEX($C20:$BM20,1,BG7-'الافتراضات'!$C$120+4)*'الافتراضات'!$D$120,0)</f>
        <v/>
      </c>
      <c r="BH32" s="45">
        <f>IF(AND('الافتراضات'!$C$112=1,BH7&gt;='الافتراضات'!$C$120),INDEX($C20:$BM20,1,BH7-'الافتراضات'!$C$120+4)*'الافتراضات'!$D$120,0)</f>
        <v/>
      </c>
      <c r="BI32" s="45">
        <f>IF(AND('الافتراضات'!$C$112=1,BI7&gt;='الافتراضات'!$C$120),INDEX($C20:$BM20,1,BI7-'الافتراضات'!$C$120+4)*'الافتراضات'!$D$120,0)</f>
        <v/>
      </c>
      <c r="BJ32" s="45">
        <f>IF(AND('الافتراضات'!$C$112=1,BJ7&gt;='الافتراضات'!$C$120),INDEX($C20:$BM20,1,BJ7-'الافتراضات'!$C$120+4)*'الافتراضات'!$D$120,0)</f>
        <v/>
      </c>
      <c r="BK32" s="45">
        <f>IF(AND('الافتراضات'!$C$112=1,BK7&gt;='الافتراضات'!$C$120),INDEX($C20:$BM20,1,BK7-'الافتراضات'!$C$120+4)*'الافتراضات'!$D$120,0)</f>
        <v/>
      </c>
      <c r="BL32" s="45">
        <f>IF(AND('الافتراضات'!$C$112=1,BL7&gt;='الافتراضات'!$C$120),INDEX($C20:$BM20,1,BL7-'الافتراضات'!$C$120+4)*'الافتراضات'!$D$120,0)</f>
        <v/>
      </c>
      <c r="BM32" s="45">
        <f>IF(AND('الافتراضات'!$C$112=1,BM7&gt;='الافتراضات'!$C$120),INDEX($C20:$BM20,1,BM7-'الافتراضات'!$C$120+4)*'الافتراضات'!$D$120,0)</f>
        <v/>
      </c>
    </row>
    <row r="33">
      <c r="A33" s="4" t="inlineStr">
        <is>
          <t>العملاء النشطون — بدر</t>
        </is>
      </c>
      <c r="B33" s="22" t="inlineStr">
        <is>
          <t>#</t>
        </is>
      </c>
      <c r="C33" s="45">
        <f>IF(AND('الافتراضات'!$C$112=1,C7&gt;='الافتراضات'!$C$121),INDEX($C20:$BM20,1,C7-'الافتراضات'!$C$121+4)*'الافتراضات'!$D$121,0)</f>
        <v/>
      </c>
      <c r="D33" s="45">
        <f>IF(AND('الافتراضات'!$C$112=1,D7&gt;='الافتراضات'!$C$121),INDEX($C20:$BM20,1,D7-'الافتراضات'!$C$121+4)*'الافتراضات'!$D$121,0)</f>
        <v/>
      </c>
      <c r="E33" s="45">
        <f>IF(AND('الافتراضات'!$C$112=1,E7&gt;='الافتراضات'!$C$121),INDEX($C20:$BM20,1,E7-'الافتراضات'!$C$121+4)*'الافتراضات'!$D$121,0)</f>
        <v/>
      </c>
      <c r="F33" s="45">
        <f>IF(AND('الافتراضات'!$C$112=1,F7&gt;='الافتراضات'!$C$121),INDEX($C20:$BM20,1,F7-'الافتراضات'!$C$121+4)*'الافتراضات'!$D$121,0)</f>
        <v/>
      </c>
      <c r="G33" s="45">
        <f>IF(AND('الافتراضات'!$C$112=1,G7&gt;='الافتراضات'!$C$121),INDEX($C20:$BM20,1,G7-'الافتراضات'!$C$121+4)*'الافتراضات'!$D$121,0)</f>
        <v/>
      </c>
      <c r="H33" s="45">
        <f>IF(AND('الافتراضات'!$C$112=1,H7&gt;='الافتراضات'!$C$121),INDEX($C20:$BM20,1,H7-'الافتراضات'!$C$121+4)*'الافتراضات'!$D$121,0)</f>
        <v/>
      </c>
      <c r="I33" s="45">
        <f>IF(AND('الافتراضات'!$C$112=1,I7&gt;='الافتراضات'!$C$121),INDEX($C20:$BM20,1,I7-'الافتراضات'!$C$121+4)*'الافتراضات'!$D$121,0)</f>
        <v/>
      </c>
      <c r="J33" s="45">
        <f>IF(AND('الافتراضات'!$C$112=1,J7&gt;='الافتراضات'!$C$121),INDEX($C20:$BM20,1,J7-'الافتراضات'!$C$121+4)*'الافتراضات'!$D$121,0)</f>
        <v/>
      </c>
      <c r="K33" s="45">
        <f>IF(AND('الافتراضات'!$C$112=1,K7&gt;='الافتراضات'!$C$121),INDEX($C20:$BM20,1,K7-'الافتراضات'!$C$121+4)*'الافتراضات'!$D$121,0)</f>
        <v/>
      </c>
      <c r="L33" s="45">
        <f>IF(AND('الافتراضات'!$C$112=1,L7&gt;='الافتراضات'!$C$121),INDEX($C20:$BM20,1,L7-'الافتراضات'!$C$121+4)*'الافتراضات'!$D$121,0)</f>
        <v/>
      </c>
      <c r="M33" s="45">
        <f>IF(AND('الافتراضات'!$C$112=1,M7&gt;='الافتراضات'!$C$121),INDEX($C20:$BM20,1,M7-'الافتراضات'!$C$121+4)*'الافتراضات'!$D$121,0)</f>
        <v/>
      </c>
      <c r="N33" s="45">
        <f>IF(AND('الافتراضات'!$C$112=1,N7&gt;='الافتراضات'!$C$121),INDEX($C20:$BM20,1,N7-'الافتراضات'!$C$121+4)*'الافتراضات'!$D$121,0)</f>
        <v/>
      </c>
      <c r="O33" s="45">
        <f>IF(AND('الافتراضات'!$C$112=1,O7&gt;='الافتراضات'!$C$121),INDEX($C20:$BM20,1,O7-'الافتراضات'!$C$121+4)*'الافتراضات'!$D$121,0)</f>
        <v/>
      </c>
      <c r="P33" s="45">
        <f>IF(AND('الافتراضات'!$C$112=1,P7&gt;='الافتراضات'!$C$121),INDEX($C20:$BM20,1,P7-'الافتراضات'!$C$121+4)*'الافتراضات'!$D$121,0)</f>
        <v/>
      </c>
      <c r="Q33" s="45">
        <f>IF(AND('الافتراضات'!$C$112=1,Q7&gt;='الافتراضات'!$C$121),INDEX($C20:$BM20,1,Q7-'الافتراضات'!$C$121+4)*'الافتراضات'!$D$121,0)</f>
        <v/>
      </c>
      <c r="R33" s="45">
        <f>IF(AND('الافتراضات'!$C$112=1,R7&gt;='الافتراضات'!$C$121),INDEX($C20:$BM20,1,R7-'الافتراضات'!$C$121+4)*'الافتراضات'!$D$121,0)</f>
        <v/>
      </c>
      <c r="S33" s="45">
        <f>IF(AND('الافتراضات'!$C$112=1,S7&gt;='الافتراضات'!$C$121),INDEX($C20:$BM20,1,S7-'الافتراضات'!$C$121+4)*'الافتراضات'!$D$121,0)</f>
        <v/>
      </c>
      <c r="T33" s="45">
        <f>IF(AND('الافتراضات'!$C$112=1,T7&gt;='الافتراضات'!$C$121),INDEX($C20:$BM20,1,T7-'الافتراضات'!$C$121+4)*'الافتراضات'!$D$121,0)</f>
        <v/>
      </c>
      <c r="U33" s="45">
        <f>IF(AND('الافتراضات'!$C$112=1,U7&gt;='الافتراضات'!$C$121),INDEX($C20:$BM20,1,U7-'الافتراضات'!$C$121+4)*'الافتراضات'!$D$121,0)</f>
        <v/>
      </c>
      <c r="V33" s="45">
        <f>IF(AND('الافتراضات'!$C$112=1,V7&gt;='الافتراضات'!$C$121),INDEX($C20:$BM20,1,V7-'الافتراضات'!$C$121+4)*'الافتراضات'!$D$121,0)</f>
        <v/>
      </c>
      <c r="W33" s="45">
        <f>IF(AND('الافتراضات'!$C$112=1,W7&gt;='الافتراضات'!$C$121),INDEX($C20:$BM20,1,W7-'الافتراضات'!$C$121+4)*'الافتراضات'!$D$121,0)</f>
        <v/>
      </c>
      <c r="X33" s="45">
        <f>IF(AND('الافتراضات'!$C$112=1,X7&gt;='الافتراضات'!$C$121),INDEX($C20:$BM20,1,X7-'الافتراضات'!$C$121+4)*'الافتراضات'!$D$121,0)</f>
        <v/>
      </c>
      <c r="Y33" s="45">
        <f>IF(AND('الافتراضات'!$C$112=1,Y7&gt;='الافتراضات'!$C$121),INDEX($C20:$BM20,1,Y7-'الافتراضات'!$C$121+4)*'الافتراضات'!$D$121,0)</f>
        <v/>
      </c>
      <c r="Z33" s="45">
        <f>IF(AND('الافتراضات'!$C$112=1,Z7&gt;='الافتراضات'!$C$121),INDEX($C20:$BM20,1,Z7-'الافتراضات'!$C$121+4)*'الافتراضات'!$D$121,0)</f>
        <v/>
      </c>
      <c r="AA33" s="45">
        <f>IF(AND('الافتراضات'!$C$112=1,AA7&gt;='الافتراضات'!$C$121),INDEX($C20:$BM20,1,AA7-'الافتراضات'!$C$121+4)*'الافتراضات'!$D$121,0)</f>
        <v/>
      </c>
      <c r="AB33" s="45">
        <f>IF(AND('الافتراضات'!$C$112=1,AB7&gt;='الافتراضات'!$C$121),INDEX($C20:$BM20,1,AB7-'الافتراضات'!$C$121+4)*'الافتراضات'!$D$121,0)</f>
        <v/>
      </c>
      <c r="AC33" s="45">
        <f>IF(AND('الافتراضات'!$C$112=1,AC7&gt;='الافتراضات'!$C$121),INDEX($C20:$BM20,1,AC7-'الافتراضات'!$C$121+4)*'الافتراضات'!$D$121,0)</f>
        <v/>
      </c>
      <c r="AD33" s="45">
        <f>IF(AND('الافتراضات'!$C$112=1,AD7&gt;='الافتراضات'!$C$121),INDEX($C20:$BM20,1,AD7-'الافتراضات'!$C$121+4)*'الافتراضات'!$D$121,0)</f>
        <v/>
      </c>
      <c r="AE33" s="45">
        <f>IF(AND('الافتراضات'!$C$112=1,AE7&gt;='الافتراضات'!$C$121),INDEX($C20:$BM20,1,AE7-'الافتراضات'!$C$121+4)*'الافتراضات'!$D$121,0)</f>
        <v/>
      </c>
      <c r="AF33" s="45">
        <f>IF(AND('الافتراضات'!$C$112=1,AF7&gt;='الافتراضات'!$C$121),INDEX($C20:$BM20,1,AF7-'الافتراضات'!$C$121+4)*'الافتراضات'!$D$121,0)</f>
        <v/>
      </c>
      <c r="AG33" s="45">
        <f>IF(AND('الافتراضات'!$C$112=1,AG7&gt;='الافتراضات'!$C$121),INDEX($C20:$BM20,1,AG7-'الافتراضات'!$C$121+4)*'الافتراضات'!$D$121,0)</f>
        <v/>
      </c>
      <c r="AH33" s="45">
        <f>IF(AND('الافتراضات'!$C$112=1,AH7&gt;='الافتراضات'!$C$121),INDEX($C20:$BM20,1,AH7-'الافتراضات'!$C$121+4)*'الافتراضات'!$D$121,0)</f>
        <v/>
      </c>
      <c r="AI33" s="45">
        <f>IF(AND('الافتراضات'!$C$112=1,AI7&gt;='الافتراضات'!$C$121),INDEX($C20:$BM20,1,AI7-'الافتراضات'!$C$121+4)*'الافتراضات'!$D$121,0)</f>
        <v/>
      </c>
      <c r="AJ33" s="45">
        <f>IF(AND('الافتراضات'!$C$112=1,AJ7&gt;='الافتراضات'!$C$121),INDEX($C20:$BM20,1,AJ7-'الافتراضات'!$C$121+4)*'الافتراضات'!$D$121,0)</f>
        <v/>
      </c>
      <c r="AK33" s="45">
        <f>IF(AND('الافتراضات'!$C$112=1,AK7&gt;='الافتراضات'!$C$121),INDEX($C20:$BM20,1,AK7-'الافتراضات'!$C$121+4)*'الافتراضات'!$D$121,0)</f>
        <v/>
      </c>
      <c r="AL33" s="45">
        <f>IF(AND('الافتراضات'!$C$112=1,AL7&gt;='الافتراضات'!$C$121),INDEX($C20:$BM20,1,AL7-'الافتراضات'!$C$121+4)*'الافتراضات'!$D$121,0)</f>
        <v/>
      </c>
      <c r="AM33" s="45">
        <f>IF(AND('الافتراضات'!$C$112=1,AM7&gt;='الافتراضات'!$C$121),INDEX($C20:$BM20,1,AM7-'الافتراضات'!$C$121+4)*'الافتراضات'!$D$121,0)</f>
        <v/>
      </c>
      <c r="AN33" s="45">
        <f>IF(AND('الافتراضات'!$C$112=1,AN7&gt;='الافتراضات'!$C$121),INDEX($C20:$BM20,1,AN7-'الافتراضات'!$C$121+4)*'الافتراضات'!$D$121,0)</f>
        <v/>
      </c>
      <c r="AO33" s="45">
        <f>IF(AND('الافتراضات'!$C$112=1,AO7&gt;='الافتراضات'!$C$121),INDEX($C20:$BM20,1,AO7-'الافتراضات'!$C$121+4)*'الافتراضات'!$D$121,0)</f>
        <v/>
      </c>
      <c r="AP33" s="45">
        <f>IF(AND('الافتراضات'!$C$112=1,AP7&gt;='الافتراضات'!$C$121),INDEX($C20:$BM20,1,AP7-'الافتراضات'!$C$121+4)*'الافتراضات'!$D$121,0)</f>
        <v/>
      </c>
      <c r="AQ33" s="45">
        <f>IF(AND('الافتراضات'!$C$112=1,AQ7&gt;='الافتراضات'!$C$121),INDEX($C20:$BM20,1,AQ7-'الافتراضات'!$C$121+4)*'الافتراضات'!$D$121,0)</f>
        <v/>
      </c>
      <c r="AR33" s="45">
        <f>IF(AND('الافتراضات'!$C$112=1,AR7&gt;='الافتراضات'!$C$121),INDEX($C20:$BM20,1,AR7-'الافتراضات'!$C$121+4)*'الافتراضات'!$D$121,0)</f>
        <v/>
      </c>
      <c r="AS33" s="45">
        <f>IF(AND('الافتراضات'!$C$112=1,AS7&gt;='الافتراضات'!$C$121),INDEX($C20:$BM20,1,AS7-'الافتراضات'!$C$121+4)*'الافتراضات'!$D$121,0)</f>
        <v/>
      </c>
      <c r="AT33" s="45">
        <f>IF(AND('الافتراضات'!$C$112=1,AT7&gt;='الافتراضات'!$C$121),INDEX($C20:$BM20,1,AT7-'الافتراضات'!$C$121+4)*'الافتراضات'!$D$121,0)</f>
        <v/>
      </c>
      <c r="AU33" s="45">
        <f>IF(AND('الافتراضات'!$C$112=1,AU7&gt;='الافتراضات'!$C$121),INDEX($C20:$BM20,1,AU7-'الافتراضات'!$C$121+4)*'الافتراضات'!$D$121,0)</f>
        <v/>
      </c>
      <c r="AV33" s="45">
        <f>IF(AND('الافتراضات'!$C$112=1,AV7&gt;='الافتراضات'!$C$121),INDEX($C20:$BM20,1,AV7-'الافتراضات'!$C$121+4)*'الافتراضات'!$D$121,0)</f>
        <v/>
      </c>
      <c r="AW33" s="45">
        <f>IF(AND('الافتراضات'!$C$112=1,AW7&gt;='الافتراضات'!$C$121),INDEX($C20:$BM20,1,AW7-'الافتراضات'!$C$121+4)*'الافتراضات'!$D$121,0)</f>
        <v/>
      </c>
      <c r="AX33" s="45">
        <f>IF(AND('الافتراضات'!$C$112=1,AX7&gt;='الافتراضات'!$C$121),INDEX($C20:$BM20,1,AX7-'الافتراضات'!$C$121+4)*'الافتراضات'!$D$121,0)</f>
        <v/>
      </c>
      <c r="AY33" s="45">
        <f>IF(AND('الافتراضات'!$C$112=1,AY7&gt;='الافتراضات'!$C$121),INDEX($C20:$BM20,1,AY7-'الافتراضات'!$C$121+4)*'الافتراضات'!$D$121,0)</f>
        <v/>
      </c>
      <c r="AZ33" s="45">
        <f>IF(AND('الافتراضات'!$C$112=1,AZ7&gt;='الافتراضات'!$C$121),INDEX($C20:$BM20,1,AZ7-'الافتراضات'!$C$121+4)*'الافتراضات'!$D$121,0)</f>
        <v/>
      </c>
      <c r="BA33" s="45">
        <f>IF(AND('الافتراضات'!$C$112=1,BA7&gt;='الافتراضات'!$C$121),INDEX($C20:$BM20,1,BA7-'الافتراضات'!$C$121+4)*'الافتراضات'!$D$121,0)</f>
        <v/>
      </c>
      <c r="BB33" s="45">
        <f>IF(AND('الافتراضات'!$C$112=1,BB7&gt;='الافتراضات'!$C$121),INDEX($C20:$BM20,1,BB7-'الافتراضات'!$C$121+4)*'الافتراضات'!$D$121,0)</f>
        <v/>
      </c>
      <c r="BC33" s="45">
        <f>IF(AND('الافتراضات'!$C$112=1,BC7&gt;='الافتراضات'!$C$121),INDEX($C20:$BM20,1,BC7-'الافتراضات'!$C$121+4)*'الافتراضات'!$D$121,0)</f>
        <v/>
      </c>
      <c r="BD33" s="45">
        <f>IF(AND('الافتراضات'!$C$112=1,BD7&gt;='الافتراضات'!$C$121),INDEX($C20:$BM20,1,BD7-'الافتراضات'!$C$121+4)*'الافتراضات'!$D$121,0)</f>
        <v/>
      </c>
      <c r="BE33" s="45">
        <f>IF(AND('الافتراضات'!$C$112=1,BE7&gt;='الافتراضات'!$C$121),INDEX($C20:$BM20,1,BE7-'الافتراضات'!$C$121+4)*'الافتراضات'!$D$121,0)</f>
        <v/>
      </c>
      <c r="BF33" s="45">
        <f>IF(AND('الافتراضات'!$C$112=1,BF7&gt;='الافتراضات'!$C$121),INDEX($C20:$BM20,1,BF7-'الافتراضات'!$C$121+4)*'الافتراضات'!$D$121,0)</f>
        <v/>
      </c>
      <c r="BG33" s="45">
        <f>IF(AND('الافتراضات'!$C$112=1,BG7&gt;='الافتراضات'!$C$121),INDEX($C20:$BM20,1,BG7-'الافتراضات'!$C$121+4)*'الافتراضات'!$D$121,0)</f>
        <v/>
      </c>
      <c r="BH33" s="45">
        <f>IF(AND('الافتراضات'!$C$112=1,BH7&gt;='الافتراضات'!$C$121),INDEX($C20:$BM20,1,BH7-'الافتراضات'!$C$121+4)*'الافتراضات'!$D$121,0)</f>
        <v/>
      </c>
      <c r="BI33" s="45">
        <f>IF(AND('الافتراضات'!$C$112=1,BI7&gt;='الافتراضات'!$C$121),INDEX($C20:$BM20,1,BI7-'الافتراضات'!$C$121+4)*'الافتراضات'!$D$121,0)</f>
        <v/>
      </c>
      <c r="BJ33" s="45">
        <f>IF(AND('الافتراضات'!$C$112=1,BJ7&gt;='الافتراضات'!$C$121),INDEX($C20:$BM20,1,BJ7-'الافتراضات'!$C$121+4)*'الافتراضات'!$D$121,0)</f>
        <v/>
      </c>
      <c r="BK33" s="45">
        <f>IF(AND('الافتراضات'!$C$112=1,BK7&gt;='الافتراضات'!$C$121),INDEX($C20:$BM20,1,BK7-'الافتراضات'!$C$121+4)*'الافتراضات'!$D$121,0)</f>
        <v/>
      </c>
      <c r="BL33" s="45">
        <f>IF(AND('الافتراضات'!$C$112=1,BL7&gt;='الافتراضات'!$C$121),INDEX($C20:$BM20,1,BL7-'الافتراضات'!$C$121+4)*'الافتراضات'!$D$121,0)</f>
        <v/>
      </c>
      <c r="BM33" s="45">
        <f>IF(AND('الافتراضات'!$C$112=1,BM7&gt;='الافتراضات'!$C$121),INDEX($C20:$BM20,1,BM7-'الافتراضات'!$C$121+4)*'الافتراضات'!$D$121,0)</f>
        <v/>
      </c>
    </row>
    <row r="34">
      <c r="A34" s="4" t="inlineStr">
        <is>
          <t>العملاء النشطون — (خانة احتياطية)</t>
        </is>
      </c>
      <c r="B34" s="22" t="inlineStr">
        <is>
          <t>#</t>
        </is>
      </c>
      <c r="C34" s="45">
        <f>IF(AND('الافتراضات'!$C$112=1,C7&gt;='الافتراضات'!$C$122),INDEX($C20:$BM20,1,C7-'الافتراضات'!$C$122+4)*'الافتراضات'!$D$122,0)</f>
        <v/>
      </c>
      <c r="D34" s="45">
        <f>IF(AND('الافتراضات'!$C$112=1,D7&gt;='الافتراضات'!$C$122),INDEX($C20:$BM20,1,D7-'الافتراضات'!$C$122+4)*'الافتراضات'!$D$122,0)</f>
        <v/>
      </c>
      <c r="E34" s="45">
        <f>IF(AND('الافتراضات'!$C$112=1,E7&gt;='الافتراضات'!$C$122),INDEX($C20:$BM20,1,E7-'الافتراضات'!$C$122+4)*'الافتراضات'!$D$122,0)</f>
        <v/>
      </c>
      <c r="F34" s="45">
        <f>IF(AND('الافتراضات'!$C$112=1,F7&gt;='الافتراضات'!$C$122),INDEX($C20:$BM20,1,F7-'الافتراضات'!$C$122+4)*'الافتراضات'!$D$122,0)</f>
        <v/>
      </c>
      <c r="G34" s="45">
        <f>IF(AND('الافتراضات'!$C$112=1,G7&gt;='الافتراضات'!$C$122),INDEX($C20:$BM20,1,G7-'الافتراضات'!$C$122+4)*'الافتراضات'!$D$122,0)</f>
        <v/>
      </c>
      <c r="H34" s="45">
        <f>IF(AND('الافتراضات'!$C$112=1,H7&gt;='الافتراضات'!$C$122),INDEX($C20:$BM20,1,H7-'الافتراضات'!$C$122+4)*'الافتراضات'!$D$122,0)</f>
        <v/>
      </c>
      <c r="I34" s="45">
        <f>IF(AND('الافتراضات'!$C$112=1,I7&gt;='الافتراضات'!$C$122),INDEX($C20:$BM20,1,I7-'الافتراضات'!$C$122+4)*'الافتراضات'!$D$122,0)</f>
        <v/>
      </c>
      <c r="J34" s="45">
        <f>IF(AND('الافتراضات'!$C$112=1,J7&gt;='الافتراضات'!$C$122),INDEX($C20:$BM20,1,J7-'الافتراضات'!$C$122+4)*'الافتراضات'!$D$122,0)</f>
        <v/>
      </c>
      <c r="K34" s="45">
        <f>IF(AND('الافتراضات'!$C$112=1,K7&gt;='الافتراضات'!$C$122),INDEX($C20:$BM20,1,K7-'الافتراضات'!$C$122+4)*'الافتراضات'!$D$122,0)</f>
        <v/>
      </c>
      <c r="L34" s="45">
        <f>IF(AND('الافتراضات'!$C$112=1,L7&gt;='الافتراضات'!$C$122),INDEX($C20:$BM20,1,L7-'الافتراضات'!$C$122+4)*'الافتراضات'!$D$122,0)</f>
        <v/>
      </c>
      <c r="M34" s="45">
        <f>IF(AND('الافتراضات'!$C$112=1,M7&gt;='الافتراضات'!$C$122),INDEX($C20:$BM20,1,M7-'الافتراضات'!$C$122+4)*'الافتراضات'!$D$122,0)</f>
        <v/>
      </c>
      <c r="N34" s="45">
        <f>IF(AND('الافتراضات'!$C$112=1,N7&gt;='الافتراضات'!$C$122),INDEX($C20:$BM20,1,N7-'الافتراضات'!$C$122+4)*'الافتراضات'!$D$122,0)</f>
        <v/>
      </c>
      <c r="O34" s="45">
        <f>IF(AND('الافتراضات'!$C$112=1,O7&gt;='الافتراضات'!$C$122),INDEX($C20:$BM20,1,O7-'الافتراضات'!$C$122+4)*'الافتراضات'!$D$122,0)</f>
        <v/>
      </c>
      <c r="P34" s="45">
        <f>IF(AND('الافتراضات'!$C$112=1,P7&gt;='الافتراضات'!$C$122),INDEX($C20:$BM20,1,P7-'الافتراضات'!$C$122+4)*'الافتراضات'!$D$122,0)</f>
        <v/>
      </c>
      <c r="Q34" s="45">
        <f>IF(AND('الافتراضات'!$C$112=1,Q7&gt;='الافتراضات'!$C$122),INDEX($C20:$BM20,1,Q7-'الافتراضات'!$C$122+4)*'الافتراضات'!$D$122,0)</f>
        <v/>
      </c>
      <c r="R34" s="45">
        <f>IF(AND('الافتراضات'!$C$112=1,R7&gt;='الافتراضات'!$C$122),INDEX($C20:$BM20,1,R7-'الافتراضات'!$C$122+4)*'الافتراضات'!$D$122,0)</f>
        <v/>
      </c>
      <c r="S34" s="45">
        <f>IF(AND('الافتراضات'!$C$112=1,S7&gt;='الافتراضات'!$C$122),INDEX($C20:$BM20,1,S7-'الافتراضات'!$C$122+4)*'الافتراضات'!$D$122,0)</f>
        <v/>
      </c>
      <c r="T34" s="45">
        <f>IF(AND('الافتراضات'!$C$112=1,T7&gt;='الافتراضات'!$C$122),INDEX($C20:$BM20,1,T7-'الافتراضات'!$C$122+4)*'الافتراضات'!$D$122,0)</f>
        <v/>
      </c>
      <c r="U34" s="45">
        <f>IF(AND('الافتراضات'!$C$112=1,U7&gt;='الافتراضات'!$C$122),INDEX($C20:$BM20,1,U7-'الافتراضات'!$C$122+4)*'الافتراضات'!$D$122,0)</f>
        <v/>
      </c>
      <c r="V34" s="45">
        <f>IF(AND('الافتراضات'!$C$112=1,V7&gt;='الافتراضات'!$C$122),INDEX($C20:$BM20,1,V7-'الافتراضات'!$C$122+4)*'الافتراضات'!$D$122,0)</f>
        <v/>
      </c>
      <c r="W34" s="45">
        <f>IF(AND('الافتراضات'!$C$112=1,W7&gt;='الافتراضات'!$C$122),INDEX($C20:$BM20,1,W7-'الافتراضات'!$C$122+4)*'الافتراضات'!$D$122,0)</f>
        <v/>
      </c>
      <c r="X34" s="45">
        <f>IF(AND('الافتراضات'!$C$112=1,X7&gt;='الافتراضات'!$C$122),INDEX($C20:$BM20,1,X7-'الافتراضات'!$C$122+4)*'الافتراضات'!$D$122,0)</f>
        <v/>
      </c>
      <c r="Y34" s="45">
        <f>IF(AND('الافتراضات'!$C$112=1,Y7&gt;='الافتراضات'!$C$122),INDEX($C20:$BM20,1,Y7-'الافتراضات'!$C$122+4)*'الافتراضات'!$D$122,0)</f>
        <v/>
      </c>
      <c r="Z34" s="45">
        <f>IF(AND('الافتراضات'!$C$112=1,Z7&gt;='الافتراضات'!$C$122),INDEX($C20:$BM20,1,Z7-'الافتراضات'!$C$122+4)*'الافتراضات'!$D$122,0)</f>
        <v/>
      </c>
      <c r="AA34" s="45">
        <f>IF(AND('الافتراضات'!$C$112=1,AA7&gt;='الافتراضات'!$C$122),INDEX($C20:$BM20,1,AA7-'الافتراضات'!$C$122+4)*'الافتراضات'!$D$122,0)</f>
        <v/>
      </c>
      <c r="AB34" s="45">
        <f>IF(AND('الافتراضات'!$C$112=1,AB7&gt;='الافتراضات'!$C$122),INDEX($C20:$BM20,1,AB7-'الافتراضات'!$C$122+4)*'الافتراضات'!$D$122,0)</f>
        <v/>
      </c>
      <c r="AC34" s="45">
        <f>IF(AND('الافتراضات'!$C$112=1,AC7&gt;='الافتراضات'!$C$122),INDEX($C20:$BM20,1,AC7-'الافتراضات'!$C$122+4)*'الافتراضات'!$D$122,0)</f>
        <v/>
      </c>
      <c r="AD34" s="45">
        <f>IF(AND('الافتراضات'!$C$112=1,AD7&gt;='الافتراضات'!$C$122),INDEX($C20:$BM20,1,AD7-'الافتراضات'!$C$122+4)*'الافتراضات'!$D$122,0)</f>
        <v/>
      </c>
      <c r="AE34" s="45">
        <f>IF(AND('الافتراضات'!$C$112=1,AE7&gt;='الافتراضات'!$C$122),INDEX($C20:$BM20,1,AE7-'الافتراضات'!$C$122+4)*'الافتراضات'!$D$122,0)</f>
        <v/>
      </c>
      <c r="AF34" s="45">
        <f>IF(AND('الافتراضات'!$C$112=1,AF7&gt;='الافتراضات'!$C$122),INDEX($C20:$BM20,1,AF7-'الافتراضات'!$C$122+4)*'الافتراضات'!$D$122,0)</f>
        <v/>
      </c>
      <c r="AG34" s="45">
        <f>IF(AND('الافتراضات'!$C$112=1,AG7&gt;='الافتراضات'!$C$122),INDEX($C20:$BM20,1,AG7-'الافتراضات'!$C$122+4)*'الافتراضات'!$D$122,0)</f>
        <v/>
      </c>
      <c r="AH34" s="45">
        <f>IF(AND('الافتراضات'!$C$112=1,AH7&gt;='الافتراضات'!$C$122),INDEX($C20:$BM20,1,AH7-'الافتراضات'!$C$122+4)*'الافتراضات'!$D$122,0)</f>
        <v/>
      </c>
      <c r="AI34" s="45">
        <f>IF(AND('الافتراضات'!$C$112=1,AI7&gt;='الافتراضات'!$C$122),INDEX($C20:$BM20,1,AI7-'الافتراضات'!$C$122+4)*'الافتراضات'!$D$122,0)</f>
        <v/>
      </c>
      <c r="AJ34" s="45">
        <f>IF(AND('الافتراضات'!$C$112=1,AJ7&gt;='الافتراضات'!$C$122),INDEX($C20:$BM20,1,AJ7-'الافتراضات'!$C$122+4)*'الافتراضات'!$D$122,0)</f>
        <v/>
      </c>
      <c r="AK34" s="45">
        <f>IF(AND('الافتراضات'!$C$112=1,AK7&gt;='الافتراضات'!$C$122),INDEX($C20:$BM20,1,AK7-'الافتراضات'!$C$122+4)*'الافتراضات'!$D$122,0)</f>
        <v/>
      </c>
      <c r="AL34" s="45">
        <f>IF(AND('الافتراضات'!$C$112=1,AL7&gt;='الافتراضات'!$C$122),INDEX($C20:$BM20,1,AL7-'الافتراضات'!$C$122+4)*'الافتراضات'!$D$122,0)</f>
        <v/>
      </c>
      <c r="AM34" s="45">
        <f>IF(AND('الافتراضات'!$C$112=1,AM7&gt;='الافتراضات'!$C$122),INDEX($C20:$BM20,1,AM7-'الافتراضات'!$C$122+4)*'الافتراضات'!$D$122,0)</f>
        <v/>
      </c>
      <c r="AN34" s="45">
        <f>IF(AND('الافتراضات'!$C$112=1,AN7&gt;='الافتراضات'!$C$122),INDEX($C20:$BM20,1,AN7-'الافتراضات'!$C$122+4)*'الافتراضات'!$D$122,0)</f>
        <v/>
      </c>
      <c r="AO34" s="45">
        <f>IF(AND('الافتراضات'!$C$112=1,AO7&gt;='الافتراضات'!$C$122),INDEX($C20:$BM20,1,AO7-'الافتراضات'!$C$122+4)*'الافتراضات'!$D$122,0)</f>
        <v/>
      </c>
      <c r="AP34" s="45">
        <f>IF(AND('الافتراضات'!$C$112=1,AP7&gt;='الافتراضات'!$C$122),INDEX($C20:$BM20,1,AP7-'الافتراضات'!$C$122+4)*'الافتراضات'!$D$122,0)</f>
        <v/>
      </c>
      <c r="AQ34" s="45">
        <f>IF(AND('الافتراضات'!$C$112=1,AQ7&gt;='الافتراضات'!$C$122),INDEX($C20:$BM20,1,AQ7-'الافتراضات'!$C$122+4)*'الافتراضات'!$D$122,0)</f>
        <v/>
      </c>
      <c r="AR34" s="45">
        <f>IF(AND('الافتراضات'!$C$112=1,AR7&gt;='الافتراضات'!$C$122),INDEX($C20:$BM20,1,AR7-'الافتراضات'!$C$122+4)*'الافتراضات'!$D$122,0)</f>
        <v/>
      </c>
      <c r="AS34" s="45">
        <f>IF(AND('الافتراضات'!$C$112=1,AS7&gt;='الافتراضات'!$C$122),INDEX($C20:$BM20,1,AS7-'الافتراضات'!$C$122+4)*'الافتراضات'!$D$122,0)</f>
        <v/>
      </c>
      <c r="AT34" s="45">
        <f>IF(AND('الافتراضات'!$C$112=1,AT7&gt;='الافتراضات'!$C$122),INDEX($C20:$BM20,1,AT7-'الافتراضات'!$C$122+4)*'الافتراضات'!$D$122,0)</f>
        <v/>
      </c>
      <c r="AU34" s="45">
        <f>IF(AND('الافتراضات'!$C$112=1,AU7&gt;='الافتراضات'!$C$122),INDEX($C20:$BM20,1,AU7-'الافتراضات'!$C$122+4)*'الافتراضات'!$D$122,0)</f>
        <v/>
      </c>
      <c r="AV34" s="45">
        <f>IF(AND('الافتراضات'!$C$112=1,AV7&gt;='الافتراضات'!$C$122),INDEX($C20:$BM20,1,AV7-'الافتراضات'!$C$122+4)*'الافتراضات'!$D$122,0)</f>
        <v/>
      </c>
      <c r="AW34" s="45">
        <f>IF(AND('الافتراضات'!$C$112=1,AW7&gt;='الافتراضات'!$C$122),INDEX($C20:$BM20,1,AW7-'الافتراضات'!$C$122+4)*'الافتراضات'!$D$122,0)</f>
        <v/>
      </c>
      <c r="AX34" s="45">
        <f>IF(AND('الافتراضات'!$C$112=1,AX7&gt;='الافتراضات'!$C$122),INDEX($C20:$BM20,1,AX7-'الافتراضات'!$C$122+4)*'الافتراضات'!$D$122,0)</f>
        <v/>
      </c>
      <c r="AY34" s="45">
        <f>IF(AND('الافتراضات'!$C$112=1,AY7&gt;='الافتراضات'!$C$122),INDEX($C20:$BM20,1,AY7-'الافتراضات'!$C$122+4)*'الافتراضات'!$D$122,0)</f>
        <v/>
      </c>
      <c r="AZ34" s="45">
        <f>IF(AND('الافتراضات'!$C$112=1,AZ7&gt;='الافتراضات'!$C$122),INDEX($C20:$BM20,1,AZ7-'الافتراضات'!$C$122+4)*'الافتراضات'!$D$122,0)</f>
        <v/>
      </c>
      <c r="BA34" s="45">
        <f>IF(AND('الافتراضات'!$C$112=1,BA7&gt;='الافتراضات'!$C$122),INDEX($C20:$BM20,1,BA7-'الافتراضات'!$C$122+4)*'الافتراضات'!$D$122,0)</f>
        <v/>
      </c>
      <c r="BB34" s="45">
        <f>IF(AND('الافتراضات'!$C$112=1,BB7&gt;='الافتراضات'!$C$122),INDEX($C20:$BM20,1,BB7-'الافتراضات'!$C$122+4)*'الافتراضات'!$D$122,0)</f>
        <v/>
      </c>
      <c r="BC34" s="45">
        <f>IF(AND('الافتراضات'!$C$112=1,BC7&gt;='الافتراضات'!$C$122),INDEX($C20:$BM20,1,BC7-'الافتراضات'!$C$122+4)*'الافتراضات'!$D$122,0)</f>
        <v/>
      </c>
      <c r="BD34" s="45">
        <f>IF(AND('الافتراضات'!$C$112=1,BD7&gt;='الافتراضات'!$C$122),INDEX($C20:$BM20,1,BD7-'الافتراضات'!$C$122+4)*'الافتراضات'!$D$122,0)</f>
        <v/>
      </c>
      <c r="BE34" s="45">
        <f>IF(AND('الافتراضات'!$C$112=1,BE7&gt;='الافتراضات'!$C$122),INDEX($C20:$BM20,1,BE7-'الافتراضات'!$C$122+4)*'الافتراضات'!$D$122,0)</f>
        <v/>
      </c>
      <c r="BF34" s="45">
        <f>IF(AND('الافتراضات'!$C$112=1,BF7&gt;='الافتراضات'!$C$122),INDEX($C20:$BM20,1,BF7-'الافتراضات'!$C$122+4)*'الافتراضات'!$D$122,0)</f>
        <v/>
      </c>
      <c r="BG34" s="45">
        <f>IF(AND('الافتراضات'!$C$112=1,BG7&gt;='الافتراضات'!$C$122),INDEX($C20:$BM20,1,BG7-'الافتراضات'!$C$122+4)*'الافتراضات'!$D$122,0)</f>
        <v/>
      </c>
      <c r="BH34" s="45">
        <f>IF(AND('الافتراضات'!$C$112=1,BH7&gt;='الافتراضات'!$C$122),INDEX($C20:$BM20,1,BH7-'الافتراضات'!$C$122+4)*'الافتراضات'!$D$122,0)</f>
        <v/>
      </c>
      <c r="BI34" s="45">
        <f>IF(AND('الافتراضات'!$C$112=1,BI7&gt;='الافتراضات'!$C$122),INDEX($C20:$BM20,1,BI7-'الافتراضات'!$C$122+4)*'الافتراضات'!$D$122,0)</f>
        <v/>
      </c>
      <c r="BJ34" s="45">
        <f>IF(AND('الافتراضات'!$C$112=1,BJ7&gt;='الافتراضات'!$C$122),INDEX($C20:$BM20,1,BJ7-'الافتراضات'!$C$122+4)*'الافتراضات'!$D$122,0)</f>
        <v/>
      </c>
      <c r="BK34" s="45">
        <f>IF(AND('الافتراضات'!$C$112=1,BK7&gt;='الافتراضات'!$C$122),INDEX($C20:$BM20,1,BK7-'الافتراضات'!$C$122+4)*'الافتراضات'!$D$122,0)</f>
        <v/>
      </c>
      <c r="BL34" s="45">
        <f>IF(AND('الافتراضات'!$C$112=1,BL7&gt;='الافتراضات'!$C$122),INDEX($C20:$BM20,1,BL7-'الافتراضات'!$C$122+4)*'الافتراضات'!$D$122,0)</f>
        <v/>
      </c>
      <c r="BM34" s="45">
        <f>IF(AND('الافتراضات'!$C$112=1,BM7&gt;='الافتراضات'!$C$122),INDEX($C20:$BM20,1,BM7-'الافتراضات'!$C$122+4)*'الافتراضات'!$D$122,0)</f>
        <v/>
      </c>
    </row>
    <row r="35">
      <c r="A35" s="4" t="inlineStr">
        <is>
          <t>الطلبات — حوش عيسى</t>
        </is>
      </c>
      <c r="B35" s="22" t="inlineStr">
        <is>
          <t>#</t>
        </is>
      </c>
      <c r="C35" s="45">
        <f>IF(AND('الافتراضات'!$C$112=1,C7&gt;='الافتراضات'!$C$117),INDEX($C26:$BM26,1,C7-'الافتراضات'!$C$117+4)*'الافتراضات'!$D$117,0)</f>
        <v/>
      </c>
      <c r="D35" s="45">
        <f>IF(AND('الافتراضات'!$C$112=1,D7&gt;='الافتراضات'!$C$117),INDEX($C26:$BM26,1,D7-'الافتراضات'!$C$117+4)*'الافتراضات'!$D$117,0)</f>
        <v/>
      </c>
      <c r="E35" s="45">
        <f>IF(AND('الافتراضات'!$C$112=1,E7&gt;='الافتراضات'!$C$117),INDEX($C26:$BM26,1,E7-'الافتراضات'!$C$117+4)*'الافتراضات'!$D$117,0)</f>
        <v/>
      </c>
      <c r="F35" s="45">
        <f>IF(AND('الافتراضات'!$C$112=1,F7&gt;='الافتراضات'!$C$117),INDEX($C26:$BM26,1,F7-'الافتراضات'!$C$117+4)*'الافتراضات'!$D$117,0)</f>
        <v/>
      </c>
      <c r="G35" s="45">
        <f>IF(AND('الافتراضات'!$C$112=1,G7&gt;='الافتراضات'!$C$117),INDEX($C26:$BM26,1,G7-'الافتراضات'!$C$117+4)*'الافتراضات'!$D$117,0)</f>
        <v/>
      </c>
      <c r="H35" s="45">
        <f>IF(AND('الافتراضات'!$C$112=1,H7&gt;='الافتراضات'!$C$117),INDEX($C26:$BM26,1,H7-'الافتراضات'!$C$117+4)*'الافتراضات'!$D$117,0)</f>
        <v/>
      </c>
      <c r="I35" s="45">
        <f>IF(AND('الافتراضات'!$C$112=1,I7&gt;='الافتراضات'!$C$117),INDEX($C26:$BM26,1,I7-'الافتراضات'!$C$117+4)*'الافتراضات'!$D$117,0)</f>
        <v/>
      </c>
      <c r="J35" s="45">
        <f>IF(AND('الافتراضات'!$C$112=1,J7&gt;='الافتراضات'!$C$117),INDEX($C26:$BM26,1,J7-'الافتراضات'!$C$117+4)*'الافتراضات'!$D$117,0)</f>
        <v/>
      </c>
      <c r="K35" s="45">
        <f>IF(AND('الافتراضات'!$C$112=1,K7&gt;='الافتراضات'!$C$117),INDEX($C26:$BM26,1,K7-'الافتراضات'!$C$117+4)*'الافتراضات'!$D$117,0)</f>
        <v/>
      </c>
      <c r="L35" s="45">
        <f>IF(AND('الافتراضات'!$C$112=1,L7&gt;='الافتراضات'!$C$117),INDEX($C26:$BM26,1,L7-'الافتراضات'!$C$117+4)*'الافتراضات'!$D$117,0)</f>
        <v/>
      </c>
      <c r="M35" s="45">
        <f>IF(AND('الافتراضات'!$C$112=1,M7&gt;='الافتراضات'!$C$117),INDEX($C26:$BM26,1,M7-'الافتراضات'!$C$117+4)*'الافتراضات'!$D$117,0)</f>
        <v/>
      </c>
      <c r="N35" s="45">
        <f>IF(AND('الافتراضات'!$C$112=1,N7&gt;='الافتراضات'!$C$117),INDEX($C26:$BM26,1,N7-'الافتراضات'!$C$117+4)*'الافتراضات'!$D$117,0)</f>
        <v/>
      </c>
      <c r="O35" s="45">
        <f>IF(AND('الافتراضات'!$C$112=1,O7&gt;='الافتراضات'!$C$117),INDEX($C26:$BM26,1,O7-'الافتراضات'!$C$117+4)*'الافتراضات'!$D$117,0)</f>
        <v/>
      </c>
      <c r="P35" s="45">
        <f>IF(AND('الافتراضات'!$C$112=1,P7&gt;='الافتراضات'!$C$117),INDEX($C26:$BM26,1,P7-'الافتراضات'!$C$117+4)*'الافتراضات'!$D$117,0)</f>
        <v/>
      </c>
      <c r="Q35" s="45">
        <f>IF(AND('الافتراضات'!$C$112=1,Q7&gt;='الافتراضات'!$C$117),INDEX($C26:$BM26,1,Q7-'الافتراضات'!$C$117+4)*'الافتراضات'!$D$117,0)</f>
        <v/>
      </c>
      <c r="R35" s="45">
        <f>IF(AND('الافتراضات'!$C$112=1,R7&gt;='الافتراضات'!$C$117),INDEX($C26:$BM26,1,R7-'الافتراضات'!$C$117+4)*'الافتراضات'!$D$117,0)</f>
        <v/>
      </c>
      <c r="S35" s="45">
        <f>IF(AND('الافتراضات'!$C$112=1,S7&gt;='الافتراضات'!$C$117),INDEX($C26:$BM26,1,S7-'الافتراضات'!$C$117+4)*'الافتراضات'!$D$117,0)</f>
        <v/>
      </c>
      <c r="T35" s="45">
        <f>IF(AND('الافتراضات'!$C$112=1,T7&gt;='الافتراضات'!$C$117),INDEX($C26:$BM26,1,T7-'الافتراضات'!$C$117+4)*'الافتراضات'!$D$117,0)</f>
        <v/>
      </c>
      <c r="U35" s="45">
        <f>IF(AND('الافتراضات'!$C$112=1,U7&gt;='الافتراضات'!$C$117),INDEX($C26:$BM26,1,U7-'الافتراضات'!$C$117+4)*'الافتراضات'!$D$117,0)</f>
        <v/>
      </c>
      <c r="V35" s="45">
        <f>IF(AND('الافتراضات'!$C$112=1,V7&gt;='الافتراضات'!$C$117),INDEX($C26:$BM26,1,V7-'الافتراضات'!$C$117+4)*'الافتراضات'!$D$117,0)</f>
        <v/>
      </c>
      <c r="W35" s="45">
        <f>IF(AND('الافتراضات'!$C$112=1,W7&gt;='الافتراضات'!$C$117),INDEX($C26:$BM26,1,W7-'الافتراضات'!$C$117+4)*'الافتراضات'!$D$117,0)</f>
        <v/>
      </c>
      <c r="X35" s="45">
        <f>IF(AND('الافتراضات'!$C$112=1,X7&gt;='الافتراضات'!$C$117),INDEX($C26:$BM26,1,X7-'الافتراضات'!$C$117+4)*'الافتراضات'!$D$117,0)</f>
        <v/>
      </c>
      <c r="Y35" s="45">
        <f>IF(AND('الافتراضات'!$C$112=1,Y7&gt;='الافتراضات'!$C$117),INDEX($C26:$BM26,1,Y7-'الافتراضات'!$C$117+4)*'الافتراضات'!$D$117,0)</f>
        <v/>
      </c>
      <c r="Z35" s="45">
        <f>IF(AND('الافتراضات'!$C$112=1,Z7&gt;='الافتراضات'!$C$117),INDEX($C26:$BM26,1,Z7-'الافتراضات'!$C$117+4)*'الافتراضات'!$D$117,0)</f>
        <v/>
      </c>
      <c r="AA35" s="45">
        <f>IF(AND('الافتراضات'!$C$112=1,AA7&gt;='الافتراضات'!$C$117),INDEX($C26:$BM26,1,AA7-'الافتراضات'!$C$117+4)*'الافتراضات'!$D$117,0)</f>
        <v/>
      </c>
      <c r="AB35" s="45">
        <f>IF(AND('الافتراضات'!$C$112=1,AB7&gt;='الافتراضات'!$C$117),INDEX($C26:$BM26,1,AB7-'الافتراضات'!$C$117+4)*'الافتراضات'!$D$117,0)</f>
        <v/>
      </c>
      <c r="AC35" s="45">
        <f>IF(AND('الافتراضات'!$C$112=1,AC7&gt;='الافتراضات'!$C$117),INDEX($C26:$BM26,1,AC7-'الافتراضات'!$C$117+4)*'الافتراضات'!$D$117,0)</f>
        <v/>
      </c>
      <c r="AD35" s="45">
        <f>IF(AND('الافتراضات'!$C$112=1,AD7&gt;='الافتراضات'!$C$117),INDEX($C26:$BM26,1,AD7-'الافتراضات'!$C$117+4)*'الافتراضات'!$D$117,0)</f>
        <v/>
      </c>
      <c r="AE35" s="45">
        <f>IF(AND('الافتراضات'!$C$112=1,AE7&gt;='الافتراضات'!$C$117),INDEX($C26:$BM26,1,AE7-'الافتراضات'!$C$117+4)*'الافتراضات'!$D$117,0)</f>
        <v/>
      </c>
      <c r="AF35" s="45">
        <f>IF(AND('الافتراضات'!$C$112=1,AF7&gt;='الافتراضات'!$C$117),INDEX($C26:$BM26,1,AF7-'الافتراضات'!$C$117+4)*'الافتراضات'!$D$117,0)</f>
        <v/>
      </c>
      <c r="AG35" s="45">
        <f>IF(AND('الافتراضات'!$C$112=1,AG7&gt;='الافتراضات'!$C$117),INDEX($C26:$BM26,1,AG7-'الافتراضات'!$C$117+4)*'الافتراضات'!$D$117,0)</f>
        <v/>
      </c>
      <c r="AH35" s="45">
        <f>IF(AND('الافتراضات'!$C$112=1,AH7&gt;='الافتراضات'!$C$117),INDEX($C26:$BM26,1,AH7-'الافتراضات'!$C$117+4)*'الافتراضات'!$D$117,0)</f>
        <v/>
      </c>
      <c r="AI35" s="45">
        <f>IF(AND('الافتراضات'!$C$112=1,AI7&gt;='الافتراضات'!$C$117),INDEX($C26:$BM26,1,AI7-'الافتراضات'!$C$117+4)*'الافتراضات'!$D$117,0)</f>
        <v/>
      </c>
      <c r="AJ35" s="45">
        <f>IF(AND('الافتراضات'!$C$112=1,AJ7&gt;='الافتراضات'!$C$117),INDEX($C26:$BM26,1,AJ7-'الافتراضات'!$C$117+4)*'الافتراضات'!$D$117,0)</f>
        <v/>
      </c>
      <c r="AK35" s="45">
        <f>IF(AND('الافتراضات'!$C$112=1,AK7&gt;='الافتراضات'!$C$117),INDEX($C26:$BM26,1,AK7-'الافتراضات'!$C$117+4)*'الافتراضات'!$D$117,0)</f>
        <v/>
      </c>
      <c r="AL35" s="45">
        <f>IF(AND('الافتراضات'!$C$112=1,AL7&gt;='الافتراضات'!$C$117),INDEX($C26:$BM26,1,AL7-'الافتراضات'!$C$117+4)*'الافتراضات'!$D$117,0)</f>
        <v/>
      </c>
      <c r="AM35" s="45">
        <f>IF(AND('الافتراضات'!$C$112=1,AM7&gt;='الافتراضات'!$C$117),INDEX($C26:$BM26,1,AM7-'الافتراضات'!$C$117+4)*'الافتراضات'!$D$117,0)</f>
        <v/>
      </c>
      <c r="AN35" s="45">
        <f>IF(AND('الافتراضات'!$C$112=1,AN7&gt;='الافتراضات'!$C$117),INDEX($C26:$BM26,1,AN7-'الافتراضات'!$C$117+4)*'الافتراضات'!$D$117,0)</f>
        <v/>
      </c>
      <c r="AO35" s="45">
        <f>IF(AND('الافتراضات'!$C$112=1,AO7&gt;='الافتراضات'!$C$117),INDEX($C26:$BM26,1,AO7-'الافتراضات'!$C$117+4)*'الافتراضات'!$D$117,0)</f>
        <v/>
      </c>
      <c r="AP35" s="45">
        <f>IF(AND('الافتراضات'!$C$112=1,AP7&gt;='الافتراضات'!$C$117),INDEX($C26:$BM26,1,AP7-'الافتراضات'!$C$117+4)*'الافتراضات'!$D$117,0)</f>
        <v/>
      </c>
      <c r="AQ35" s="45">
        <f>IF(AND('الافتراضات'!$C$112=1,AQ7&gt;='الافتراضات'!$C$117),INDEX($C26:$BM26,1,AQ7-'الافتراضات'!$C$117+4)*'الافتراضات'!$D$117,0)</f>
        <v/>
      </c>
      <c r="AR35" s="45">
        <f>IF(AND('الافتراضات'!$C$112=1,AR7&gt;='الافتراضات'!$C$117),INDEX($C26:$BM26,1,AR7-'الافتراضات'!$C$117+4)*'الافتراضات'!$D$117,0)</f>
        <v/>
      </c>
      <c r="AS35" s="45">
        <f>IF(AND('الافتراضات'!$C$112=1,AS7&gt;='الافتراضات'!$C$117),INDEX($C26:$BM26,1,AS7-'الافتراضات'!$C$117+4)*'الافتراضات'!$D$117,0)</f>
        <v/>
      </c>
      <c r="AT35" s="45">
        <f>IF(AND('الافتراضات'!$C$112=1,AT7&gt;='الافتراضات'!$C$117),INDEX($C26:$BM26,1,AT7-'الافتراضات'!$C$117+4)*'الافتراضات'!$D$117,0)</f>
        <v/>
      </c>
      <c r="AU35" s="45">
        <f>IF(AND('الافتراضات'!$C$112=1,AU7&gt;='الافتراضات'!$C$117),INDEX($C26:$BM26,1,AU7-'الافتراضات'!$C$117+4)*'الافتراضات'!$D$117,0)</f>
        <v/>
      </c>
      <c r="AV35" s="45">
        <f>IF(AND('الافتراضات'!$C$112=1,AV7&gt;='الافتراضات'!$C$117),INDEX($C26:$BM26,1,AV7-'الافتراضات'!$C$117+4)*'الافتراضات'!$D$117,0)</f>
        <v/>
      </c>
      <c r="AW35" s="45">
        <f>IF(AND('الافتراضات'!$C$112=1,AW7&gt;='الافتراضات'!$C$117),INDEX($C26:$BM26,1,AW7-'الافتراضات'!$C$117+4)*'الافتراضات'!$D$117,0)</f>
        <v/>
      </c>
      <c r="AX35" s="45">
        <f>IF(AND('الافتراضات'!$C$112=1,AX7&gt;='الافتراضات'!$C$117),INDEX($C26:$BM26,1,AX7-'الافتراضات'!$C$117+4)*'الافتراضات'!$D$117,0)</f>
        <v/>
      </c>
      <c r="AY35" s="45">
        <f>IF(AND('الافتراضات'!$C$112=1,AY7&gt;='الافتراضات'!$C$117),INDEX($C26:$BM26,1,AY7-'الافتراضات'!$C$117+4)*'الافتراضات'!$D$117,0)</f>
        <v/>
      </c>
      <c r="AZ35" s="45">
        <f>IF(AND('الافتراضات'!$C$112=1,AZ7&gt;='الافتراضات'!$C$117),INDEX($C26:$BM26,1,AZ7-'الافتراضات'!$C$117+4)*'الافتراضات'!$D$117,0)</f>
        <v/>
      </c>
      <c r="BA35" s="45">
        <f>IF(AND('الافتراضات'!$C$112=1,BA7&gt;='الافتراضات'!$C$117),INDEX($C26:$BM26,1,BA7-'الافتراضات'!$C$117+4)*'الافتراضات'!$D$117,0)</f>
        <v/>
      </c>
      <c r="BB35" s="45">
        <f>IF(AND('الافتراضات'!$C$112=1,BB7&gt;='الافتراضات'!$C$117),INDEX($C26:$BM26,1,BB7-'الافتراضات'!$C$117+4)*'الافتراضات'!$D$117,0)</f>
        <v/>
      </c>
      <c r="BC35" s="45">
        <f>IF(AND('الافتراضات'!$C$112=1,BC7&gt;='الافتراضات'!$C$117),INDEX($C26:$BM26,1,BC7-'الافتراضات'!$C$117+4)*'الافتراضات'!$D$117,0)</f>
        <v/>
      </c>
      <c r="BD35" s="45">
        <f>IF(AND('الافتراضات'!$C$112=1,BD7&gt;='الافتراضات'!$C$117),INDEX($C26:$BM26,1,BD7-'الافتراضات'!$C$117+4)*'الافتراضات'!$D$117,0)</f>
        <v/>
      </c>
      <c r="BE35" s="45">
        <f>IF(AND('الافتراضات'!$C$112=1,BE7&gt;='الافتراضات'!$C$117),INDEX($C26:$BM26,1,BE7-'الافتراضات'!$C$117+4)*'الافتراضات'!$D$117,0)</f>
        <v/>
      </c>
      <c r="BF35" s="45">
        <f>IF(AND('الافتراضات'!$C$112=1,BF7&gt;='الافتراضات'!$C$117),INDEX($C26:$BM26,1,BF7-'الافتراضات'!$C$117+4)*'الافتراضات'!$D$117,0)</f>
        <v/>
      </c>
      <c r="BG35" s="45">
        <f>IF(AND('الافتراضات'!$C$112=1,BG7&gt;='الافتراضات'!$C$117),INDEX($C26:$BM26,1,BG7-'الافتراضات'!$C$117+4)*'الافتراضات'!$D$117,0)</f>
        <v/>
      </c>
      <c r="BH35" s="45">
        <f>IF(AND('الافتراضات'!$C$112=1,BH7&gt;='الافتراضات'!$C$117),INDEX($C26:$BM26,1,BH7-'الافتراضات'!$C$117+4)*'الافتراضات'!$D$117,0)</f>
        <v/>
      </c>
      <c r="BI35" s="45">
        <f>IF(AND('الافتراضات'!$C$112=1,BI7&gt;='الافتراضات'!$C$117),INDEX($C26:$BM26,1,BI7-'الافتراضات'!$C$117+4)*'الافتراضات'!$D$117,0)</f>
        <v/>
      </c>
      <c r="BJ35" s="45">
        <f>IF(AND('الافتراضات'!$C$112=1,BJ7&gt;='الافتراضات'!$C$117),INDEX($C26:$BM26,1,BJ7-'الافتراضات'!$C$117+4)*'الافتراضات'!$D$117,0)</f>
        <v/>
      </c>
      <c r="BK35" s="45">
        <f>IF(AND('الافتراضات'!$C$112=1,BK7&gt;='الافتراضات'!$C$117),INDEX($C26:$BM26,1,BK7-'الافتراضات'!$C$117+4)*'الافتراضات'!$D$117,0)</f>
        <v/>
      </c>
      <c r="BL35" s="45">
        <f>IF(AND('الافتراضات'!$C$112=1,BL7&gt;='الافتراضات'!$C$117),INDEX($C26:$BM26,1,BL7-'الافتراضات'!$C$117+4)*'الافتراضات'!$D$117,0)</f>
        <v/>
      </c>
      <c r="BM35" s="45">
        <f>IF(AND('الافتراضات'!$C$112=1,BM7&gt;='الافتراضات'!$C$117),INDEX($C26:$BM26,1,BM7-'الافتراضات'!$C$117+4)*'الافتراضات'!$D$117,0)</f>
        <v/>
      </c>
    </row>
    <row r="36">
      <c r="A36" s="4" t="inlineStr">
        <is>
          <t>الطلبات — أبو حمص</t>
        </is>
      </c>
      <c r="B36" s="22" t="inlineStr">
        <is>
          <t>#</t>
        </is>
      </c>
      <c r="C36" s="45">
        <f>IF(AND('الافتراضات'!$C$112=1,C7&gt;='الافتراضات'!$C$118),INDEX($C26:$BM26,1,C7-'الافتراضات'!$C$118+4)*'الافتراضات'!$D$118,0)</f>
        <v/>
      </c>
      <c r="D36" s="45">
        <f>IF(AND('الافتراضات'!$C$112=1,D7&gt;='الافتراضات'!$C$118),INDEX($C26:$BM26,1,D7-'الافتراضات'!$C$118+4)*'الافتراضات'!$D$118,0)</f>
        <v/>
      </c>
      <c r="E36" s="45">
        <f>IF(AND('الافتراضات'!$C$112=1,E7&gt;='الافتراضات'!$C$118),INDEX($C26:$BM26,1,E7-'الافتراضات'!$C$118+4)*'الافتراضات'!$D$118,0)</f>
        <v/>
      </c>
      <c r="F36" s="45">
        <f>IF(AND('الافتراضات'!$C$112=1,F7&gt;='الافتراضات'!$C$118),INDEX($C26:$BM26,1,F7-'الافتراضات'!$C$118+4)*'الافتراضات'!$D$118,0)</f>
        <v/>
      </c>
      <c r="G36" s="45">
        <f>IF(AND('الافتراضات'!$C$112=1,G7&gt;='الافتراضات'!$C$118),INDEX($C26:$BM26,1,G7-'الافتراضات'!$C$118+4)*'الافتراضات'!$D$118,0)</f>
        <v/>
      </c>
      <c r="H36" s="45">
        <f>IF(AND('الافتراضات'!$C$112=1,H7&gt;='الافتراضات'!$C$118),INDEX($C26:$BM26,1,H7-'الافتراضات'!$C$118+4)*'الافتراضات'!$D$118,0)</f>
        <v/>
      </c>
      <c r="I36" s="45">
        <f>IF(AND('الافتراضات'!$C$112=1,I7&gt;='الافتراضات'!$C$118),INDEX($C26:$BM26,1,I7-'الافتراضات'!$C$118+4)*'الافتراضات'!$D$118,0)</f>
        <v/>
      </c>
      <c r="J36" s="45">
        <f>IF(AND('الافتراضات'!$C$112=1,J7&gt;='الافتراضات'!$C$118),INDEX($C26:$BM26,1,J7-'الافتراضات'!$C$118+4)*'الافتراضات'!$D$118,0)</f>
        <v/>
      </c>
      <c r="K36" s="45">
        <f>IF(AND('الافتراضات'!$C$112=1,K7&gt;='الافتراضات'!$C$118),INDEX($C26:$BM26,1,K7-'الافتراضات'!$C$118+4)*'الافتراضات'!$D$118,0)</f>
        <v/>
      </c>
      <c r="L36" s="45">
        <f>IF(AND('الافتراضات'!$C$112=1,L7&gt;='الافتراضات'!$C$118),INDEX($C26:$BM26,1,L7-'الافتراضات'!$C$118+4)*'الافتراضات'!$D$118,0)</f>
        <v/>
      </c>
      <c r="M36" s="45">
        <f>IF(AND('الافتراضات'!$C$112=1,M7&gt;='الافتراضات'!$C$118),INDEX($C26:$BM26,1,M7-'الافتراضات'!$C$118+4)*'الافتراضات'!$D$118,0)</f>
        <v/>
      </c>
      <c r="N36" s="45">
        <f>IF(AND('الافتراضات'!$C$112=1,N7&gt;='الافتراضات'!$C$118),INDEX($C26:$BM26,1,N7-'الافتراضات'!$C$118+4)*'الافتراضات'!$D$118,0)</f>
        <v/>
      </c>
      <c r="O36" s="45">
        <f>IF(AND('الافتراضات'!$C$112=1,O7&gt;='الافتراضات'!$C$118),INDEX($C26:$BM26,1,O7-'الافتراضات'!$C$118+4)*'الافتراضات'!$D$118,0)</f>
        <v/>
      </c>
      <c r="P36" s="45">
        <f>IF(AND('الافتراضات'!$C$112=1,P7&gt;='الافتراضات'!$C$118),INDEX($C26:$BM26,1,P7-'الافتراضات'!$C$118+4)*'الافتراضات'!$D$118,0)</f>
        <v/>
      </c>
      <c r="Q36" s="45">
        <f>IF(AND('الافتراضات'!$C$112=1,Q7&gt;='الافتراضات'!$C$118),INDEX($C26:$BM26,1,Q7-'الافتراضات'!$C$118+4)*'الافتراضات'!$D$118,0)</f>
        <v/>
      </c>
      <c r="R36" s="45">
        <f>IF(AND('الافتراضات'!$C$112=1,R7&gt;='الافتراضات'!$C$118),INDEX($C26:$BM26,1,R7-'الافتراضات'!$C$118+4)*'الافتراضات'!$D$118,0)</f>
        <v/>
      </c>
      <c r="S36" s="45">
        <f>IF(AND('الافتراضات'!$C$112=1,S7&gt;='الافتراضات'!$C$118),INDEX($C26:$BM26,1,S7-'الافتراضات'!$C$118+4)*'الافتراضات'!$D$118,0)</f>
        <v/>
      </c>
      <c r="T36" s="45">
        <f>IF(AND('الافتراضات'!$C$112=1,T7&gt;='الافتراضات'!$C$118),INDEX($C26:$BM26,1,T7-'الافتراضات'!$C$118+4)*'الافتراضات'!$D$118,0)</f>
        <v/>
      </c>
      <c r="U36" s="45">
        <f>IF(AND('الافتراضات'!$C$112=1,U7&gt;='الافتراضات'!$C$118),INDEX($C26:$BM26,1,U7-'الافتراضات'!$C$118+4)*'الافتراضات'!$D$118,0)</f>
        <v/>
      </c>
      <c r="V36" s="45">
        <f>IF(AND('الافتراضات'!$C$112=1,V7&gt;='الافتراضات'!$C$118),INDEX($C26:$BM26,1,V7-'الافتراضات'!$C$118+4)*'الافتراضات'!$D$118,0)</f>
        <v/>
      </c>
      <c r="W36" s="45">
        <f>IF(AND('الافتراضات'!$C$112=1,W7&gt;='الافتراضات'!$C$118),INDEX($C26:$BM26,1,W7-'الافتراضات'!$C$118+4)*'الافتراضات'!$D$118,0)</f>
        <v/>
      </c>
      <c r="X36" s="45">
        <f>IF(AND('الافتراضات'!$C$112=1,X7&gt;='الافتراضات'!$C$118),INDEX($C26:$BM26,1,X7-'الافتراضات'!$C$118+4)*'الافتراضات'!$D$118,0)</f>
        <v/>
      </c>
      <c r="Y36" s="45">
        <f>IF(AND('الافتراضات'!$C$112=1,Y7&gt;='الافتراضات'!$C$118),INDEX($C26:$BM26,1,Y7-'الافتراضات'!$C$118+4)*'الافتراضات'!$D$118,0)</f>
        <v/>
      </c>
      <c r="Z36" s="45">
        <f>IF(AND('الافتراضات'!$C$112=1,Z7&gt;='الافتراضات'!$C$118),INDEX($C26:$BM26,1,Z7-'الافتراضات'!$C$118+4)*'الافتراضات'!$D$118,0)</f>
        <v/>
      </c>
      <c r="AA36" s="45">
        <f>IF(AND('الافتراضات'!$C$112=1,AA7&gt;='الافتراضات'!$C$118),INDEX($C26:$BM26,1,AA7-'الافتراضات'!$C$118+4)*'الافتراضات'!$D$118,0)</f>
        <v/>
      </c>
      <c r="AB36" s="45">
        <f>IF(AND('الافتراضات'!$C$112=1,AB7&gt;='الافتراضات'!$C$118),INDEX($C26:$BM26,1,AB7-'الافتراضات'!$C$118+4)*'الافتراضات'!$D$118,0)</f>
        <v/>
      </c>
      <c r="AC36" s="45">
        <f>IF(AND('الافتراضات'!$C$112=1,AC7&gt;='الافتراضات'!$C$118),INDEX($C26:$BM26,1,AC7-'الافتراضات'!$C$118+4)*'الافتراضات'!$D$118,0)</f>
        <v/>
      </c>
      <c r="AD36" s="45">
        <f>IF(AND('الافتراضات'!$C$112=1,AD7&gt;='الافتراضات'!$C$118),INDEX($C26:$BM26,1,AD7-'الافتراضات'!$C$118+4)*'الافتراضات'!$D$118,0)</f>
        <v/>
      </c>
      <c r="AE36" s="45">
        <f>IF(AND('الافتراضات'!$C$112=1,AE7&gt;='الافتراضات'!$C$118),INDEX($C26:$BM26,1,AE7-'الافتراضات'!$C$118+4)*'الافتراضات'!$D$118,0)</f>
        <v/>
      </c>
      <c r="AF36" s="45">
        <f>IF(AND('الافتراضات'!$C$112=1,AF7&gt;='الافتراضات'!$C$118),INDEX($C26:$BM26,1,AF7-'الافتراضات'!$C$118+4)*'الافتراضات'!$D$118,0)</f>
        <v/>
      </c>
      <c r="AG36" s="45">
        <f>IF(AND('الافتراضات'!$C$112=1,AG7&gt;='الافتراضات'!$C$118),INDEX($C26:$BM26,1,AG7-'الافتراضات'!$C$118+4)*'الافتراضات'!$D$118,0)</f>
        <v/>
      </c>
      <c r="AH36" s="45">
        <f>IF(AND('الافتراضات'!$C$112=1,AH7&gt;='الافتراضات'!$C$118),INDEX($C26:$BM26,1,AH7-'الافتراضات'!$C$118+4)*'الافتراضات'!$D$118,0)</f>
        <v/>
      </c>
      <c r="AI36" s="45">
        <f>IF(AND('الافتراضات'!$C$112=1,AI7&gt;='الافتراضات'!$C$118),INDEX($C26:$BM26,1,AI7-'الافتراضات'!$C$118+4)*'الافتراضات'!$D$118,0)</f>
        <v/>
      </c>
      <c r="AJ36" s="45">
        <f>IF(AND('الافتراضات'!$C$112=1,AJ7&gt;='الافتراضات'!$C$118),INDEX($C26:$BM26,1,AJ7-'الافتراضات'!$C$118+4)*'الافتراضات'!$D$118,0)</f>
        <v/>
      </c>
      <c r="AK36" s="45">
        <f>IF(AND('الافتراضات'!$C$112=1,AK7&gt;='الافتراضات'!$C$118),INDEX($C26:$BM26,1,AK7-'الافتراضات'!$C$118+4)*'الافتراضات'!$D$118,0)</f>
        <v/>
      </c>
      <c r="AL36" s="45">
        <f>IF(AND('الافتراضات'!$C$112=1,AL7&gt;='الافتراضات'!$C$118),INDEX($C26:$BM26,1,AL7-'الافتراضات'!$C$118+4)*'الافتراضات'!$D$118,0)</f>
        <v/>
      </c>
      <c r="AM36" s="45">
        <f>IF(AND('الافتراضات'!$C$112=1,AM7&gt;='الافتراضات'!$C$118),INDEX($C26:$BM26,1,AM7-'الافتراضات'!$C$118+4)*'الافتراضات'!$D$118,0)</f>
        <v/>
      </c>
      <c r="AN36" s="45">
        <f>IF(AND('الافتراضات'!$C$112=1,AN7&gt;='الافتراضات'!$C$118),INDEX($C26:$BM26,1,AN7-'الافتراضات'!$C$118+4)*'الافتراضات'!$D$118,0)</f>
        <v/>
      </c>
      <c r="AO36" s="45">
        <f>IF(AND('الافتراضات'!$C$112=1,AO7&gt;='الافتراضات'!$C$118),INDEX($C26:$BM26,1,AO7-'الافتراضات'!$C$118+4)*'الافتراضات'!$D$118,0)</f>
        <v/>
      </c>
      <c r="AP36" s="45">
        <f>IF(AND('الافتراضات'!$C$112=1,AP7&gt;='الافتراضات'!$C$118),INDEX($C26:$BM26,1,AP7-'الافتراضات'!$C$118+4)*'الافتراضات'!$D$118,0)</f>
        <v/>
      </c>
      <c r="AQ36" s="45">
        <f>IF(AND('الافتراضات'!$C$112=1,AQ7&gt;='الافتراضات'!$C$118),INDEX($C26:$BM26,1,AQ7-'الافتراضات'!$C$118+4)*'الافتراضات'!$D$118,0)</f>
        <v/>
      </c>
      <c r="AR36" s="45">
        <f>IF(AND('الافتراضات'!$C$112=1,AR7&gt;='الافتراضات'!$C$118),INDEX($C26:$BM26,1,AR7-'الافتراضات'!$C$118+4)*'الافتراضات'!$D$118,0)</f>
        <v/>
      </c>
      <c r="AS36" s="45">
        <f>IF(AND('الافتراضات'!$C$112=1,AS7&gt;='الافتراضات'!$C$118),INDEX($C26:$BM26,1,AS7-'الافتراضات'!$C$118+4)*'الافتراضات'!$D$118,0)</f>
        <v/>
      </c>
      <c r="AT36" s="45">
        <f>IF(AND('الافتراضات'!$C$112=1,AT7&gt;='الافتراضات'!$C$118),INDEX($C26:$BM26,1,AT7-'الافتراضات'!$C$118+4)*'الافتراضات'!$D$118,0)</f>
        <v/>
      </c>
      <c r="AU36" s="45">
        <f>IF(AND('الافتراضات'!$C$112=1,AU7&gt;='الافتراضات'!$C$118),INDEX($C26:$BM26,1,AU7-'الافتراضات'!$C$118+4)*'الافتراضات'!$D$118,0)</f>
        <v/>
      </c>
      <c r="AV36" s="45">
        <f>IF(AND('الافتراضات'!$C$112=1,AV7&gt;='الافتراضات'!$C$118),INDEX($C26:$BM26,1,AV7-'الافتراضات'!$C$118+4)*'الافتراضات'!$D$118,0)</f>
        <v/>
      </c>
      <c r="AW36" s="45">
        <f>IF(AND('الافتراضات'!$C$112=1,AW7&gt;='الافتراضات'!$C$118),INDEX($C26:$BM26,1,AW7-'الافتراضات'!$C$118+4)*'الافتراضات'!$D$118,0)</f>
        <v/>
      </c>
      <c r="AX36" s="45">
        <f>IF(AND('الافتراضات'!$C$112=1,AX7&gt;='الافتراضات'!$C$118),INDEX($C26:$BM26,1,AX7-'الافتراضات'!$C$118+4)*'الافتراضات'!$D$118,0)</f>
        <v/>
      </c>
      <c r="AY36" s="45">
        <f>IF(AND('الافتراضات'!$C$112=1,AY7&gt;='الافتراضات'!$C$118),INDEX($C26:$BM26,1,AY7-'الافتراضات'!$C$118+4)*'الافتراضات'!$D$118,0)</f>
        <v/>
      </c>
      <c r="AZ36" s="45">
        <f>IF(AND('الافتراضات'!$C$112=1,AZ7&gt;='الافتراضات'!$C$118),INDEX($C26:$BM26,1,AZ7-'الافتراضات'!$C$118+4)*'الافتراضات'!$D$118,0)</f>
        <v/>
      </c>
      <c r="BA36" s="45">
        <f>IF(AND('الافتراضات'!$C$112=1,BA7&gt;='الافتراضات'!$C$118),INDEX($C26:$BM26,1,BA7-'الافتراضات'!$C$118+4)*'الافتراضات'!$D$118,0)</f>
        <v/>
      </c>
      <c r="BB36" s="45">
        <f>IF(AND('الافتراضات'!$C$112=1,BB7&gt;='الافتراضات'!$C$118),INDEX($C26:$BM26,1,BB7-'الافتراضات'!$C$118+4)*'الافتراضات'!$D$118,0)</f>
        <v/>
      </c>
      <c r="BC36" s="45">
        <f>IF(AND('الافتراضات'!$C$112=1,BC7&gt;='الافتراضات'!$C$118),INDEX($C26:$BM26,1,BC7-'الافتراضات'!$C$118+4)*'الافتراضات'!$D$118,0)</f>
        <v/>
      </c>
      <c r="BD36" s="45">
        <f>IF(AND('الافتراضات'!$C$112=1,BD7&gt;='الافتراضات'!$C$118),INDEX($C26:$BM26,1,BD7-'الافتراضات'!$C$118+4)*'الافتراضات'!$D$118,0)</f>
        <v/>
      </c>
      <c r="BE36" s="45">
        <f>IF(AND('الافتراضات'!$C$112=1,BE7&gt;='الافتراضات'!$C$118),INDEX($C26:$BM26,1,BE7-'الافتراضات'!$C$118+4)*'الافتراضات'!$D$118,0)</f>
        <v/>
      </c>
      <c r="BF36" s="45">
        <f>IF(AND('الافتراضات'!$C$112=1,BF7&gt;='الافتراضات'!$C$118),INDEX($C26:$BM26,1,BF7-'الافتراضات'!$C$118+4)*'الافتراضات'!$D$118,0)</f>
        <v/>
      </c>
      <c r="BG36" s="45">
        <f>IF(AND('الافتراضات'!$C$112=1,BG7&gt;='الافتراضات'!$C$118),INDEX($C26:$BM26,1,BG7-'الافتراضات'!$C$118+4)*'الافتراضات'!$D$118,0)</f>
        <v/>
      </c>
      <c r="BH36" s="45">
        <f>IF(AND('الافتراضات'!$C$112=1,BH7&gt;='الافتراضات'!$C$118),INDEX($C26:$BM26,1,BH7-'الافتراضات'!$C$118+4)*'الافتراضات'!$D$118,0)</f>
        <v/>
      </c>
      <c r="BI36" s="45">
        <f>IF(AND('الافتراضات'!$C$112=1,BI7&gt;='الافتراضات'!$C$118),INDEX($C26:$BM26,1,BI7-'الافتراضات'!$C$118+4)*'الافتراضات'!$D$118,0)</f>
        <v/>
      </c>
      <c r="BJ36" s="45">
        <f>IF(AND('الافتراضات'!$C$112=1,BJ7&gt;='الافتراضات'!$C$118),INDEX($C26:$BM26,1,BJ7-'الافتراضات'!$C$118+4)*'الافتراضات'!$D$118,0)</f>
        <v/>
      </c>
      <c r="BK36" s="45">
        <f>IF(AND('الافتراضات'!$C$112=1,BK7&gt;='الافتراضات'!$C$118),INDEX($C26:$BM26,1,BK7-'الافتراضات'!$C$118+4)*'الافتراضات'!$D$118,0)</f>
        <v/>
      </c>
      <c r="BL36" s="45">
        <f>IF(AND('الافتراضات'!$C$112=1,BL7&gt;='الافتراضات'!$C$118),INDEX($C26:$BM26,1,BL7-'الافتراضات'!$C$118+4)*'الافتراضات'!$D$118,0)</f>
        <v/>
      </c>
      <c r="BM36" s="45">
        <f>IF(AND('الافتراضات'!$C$112=1,BM7&gt;='الافتراضات'!$C$118),INDEX($C26:$BM26,1,BM7-'الافتراضات'!$C$118+4)*'الافتراضات'!$D$118,0)</f>
        <v/>
      </c>
    </row>
    <row r="37">
      <c r="A37" s="4" t="inlineStr">
        <is>
          <t>الطلبات — الدلنجات</t>
        </is>
      </c>
      <c r="B37" s="22" t="inlineStr">
        <is>
          <t>#</t>
        </is>
      </c>
      <c r="C37" s="45">
        <f>IF(AND('الافتراضات'!$C$112=1,C7&gt;='الافتراضات'!$C$119),INDEX($C26:$BM26,1,C7-'الافتراضات'!$C$119+4)*'الافتراضات'!$D$119,0)</f>
        <v/>
      </c>
      <c r="D37" s="45">
        <f>IF(AND('الافتراضات'!$C$112=1,D7&gt;='الافتراضات'!$C$119),INDEX($C26:$BM26,1,D7-'الافتراضات'!$C$119+4)*'الافتراضات'!$D$119,0)</f>
        <v/>
      </c>
      <c r="E37" s="45">
        <f>IF(AND('الافتراضات'!$C$112=1,E7&gt;='الافتراضات'!$C$119),INDEX($C26:$BM26,1,E7-'الافتراضات'!$C$119+4)*'الافتراضات'!$D$119,0)</f>
        <v/>
      </c>
      <c r="F37" s="45">
        <f>IF(AND('الافتراضات'!$C$112=1,F7&gt;='الافتراضات'!$C$119),INDEX($C26:$BM26,1,F7-'الافتراضات'!$C$119+4)*'الافتراضات'!$D$119,0)</f>
        <v/>
      </c>
      <c r="G37" s="45">
        <f>IF(AND('الافتراضات'!$C$112=1,G7&gt;='الافتراضات'!$C$119),INDEX($C26:$BM26,1,G7-'الافتراضات'!$C$119+4)*'الافتراضات'!$D$119,0)</f>
        <v/>
      </c>
      <c r="H37" s="45">
        <f>IF(AND('الافتراضات'!$C$112=1,H7&gt;='الافتراضات'!$C$119),INDEX($C26:$BM26,1,H7-'الافتراضات'!$C$119+4)*'الافتراضات'!$D$119,0)</f>
        <v/>
      </c>
      <c r="I37" s="45">
        <f>IF(AND('الافتراضات'!$C$112=1,I7&gt;='الافتراضات'!$C$119),INDEX($C26:$BM26,1,I7-'الافتراضات'!$C$119+4)*'الافتراضات'!$D$119,0)</f>
        <v/>
      </c>
      <c r="J37" s="45">
        <f>IF(AND('الافتراضات'!$C$112=1,J7&gt;='الافتراضات'!$C$119),INDEX($C26:$BM26,1,J7-'الافتراضات'!$C$119+4)*'الافتراضات'!$D$119,0)</f>
        <v/>
      </c>
      <c r="K37" s="45">
        <f>IF(AND('الافتراضات'!$C$112=1,K7&gt;='الافتراضات'!$C$119),INDEX($C26:$BM26,1,K7-'الافتراضات'!$C$119+4)*'الافتراضات'!$D$119,0)</f>
        <v/>
      </c>
      <c r="L37" s="45">
        <f>IF(AND('الافتراضات'!$C$112=1,L7&gt;='الافتراضات'!$C$119),INDEX($C26:$BM26,1,L7-'الافتراضات'!$C$119+4)*'الافتراضات'!$D$119,0)</f>
        <v/>
      </c>
      <c r="M37" s="45">
        <f>IF(AND('الافتراضات'!$C$112=1,M7&gt;='الافتراضات'!$C$119),INDEX($C26:$BM26,1,M7-'الافتراضات'!$C$119+4)*'الافتراضات'!$D$119,0)</f>
        <v/>
      </c>
      <c r="N37" s="45">
        <f>IF(AND('الافتراضات'!$C$112=1,N7&gt;='الافتراضات'!$C$119),INDEX($C26:$BM26,1,N7-'الافتراضات'!$C$119+4)*'الافتراضات'!$D$119,0)</f>
        <v/>
      </c>
      <c r="O37" s="45">
        <f>IF(AND('الافتراضات'!$C$112=1,O7&gt;='الافتراضات'!$C$119),INDEX($C26:$BM26,1,O7-'الافتراضات'!$C$119+4)*'الافتراضات'!$D$119,0)</f>
        <v/>
      </c>
      <c r="P37" s="45">
        <f>IF(AND('الافتراضات'!$C$112=1,P7&gt;='الافتراضات'!$C$119),INDEX($C26:$BM26,1,P7-'الافتراضات'!$C$119+4)*'الافتراضات'!$D$119,0)</f>
        <v/>
      </c>
      <c r="Q37" s="45">
        <f>IF(AND('الافتراضات'!$C$112=1,Q7&gt;='الافتراضات'!$C$119),INDEX($C26:$BM26,1,Q7-'الافتراضات'!$C$119+4)*'الافتراضات'!$D$119,0)</f>
        <v/>
      </c>
      <c r="R37" s="45">
        <f>IF(AND('الافتراضات'!$C$112=1,R7&gt;='الافتراضات'!$C$119),INDEX($C26:$BM26,1,R7-'الافتراضات'!$C$119+4)*'الافتراضات'!$D$119,0)</f>
        <v/>
      </c>
      <c r="S37" s="45">
        <f>IF(AND('الافتراضات'!$C$112=1,S7&gt;='الافتراضات'!$C$119),INDEX($C26:$BM26,1,S7-'الافتراضات'!$C$119+4)*'الافتراضات'!$D$119,0)</f>
        <v/>
      </c>
      <c r="T37" s="45">
        <f>IF(AND('الافتراضات'!$C$112=1,T7&gt;='الافتراضات'!$C$119),INDEX($C26:$BM26,1,T7-'الافتراضات'!$C$119+4)*'الافتراضات'!$D$119,0)</f>
        <v/>
      </c>
      <c r="U37" s="45">
        <f>IF(AND('الافتراضات'!$C$112=1,U7&gt;='الافتراضات'!$C$119),INDEX($C26:$BM26,1,U7-'الافتراضات'!$C$119+4)*'الافتراضات'!$D$119,0)</f>
        <v/>
      </c>
      <c r="V37" s="45">
        <f>IF(AND('الافتراضات'!$C$112=1,V7&gt;='الافتراضات'!$C$119),INDEX($C26:$BM26,1,V7-'الافتراضات'!$C$119+4)*'الافتراضات'!$D$119,0)</f>
        <v/>
      </c>
      <c r="W37" s="45">
        <f>IF(AND('الافتراضات'!$C$112=1,W7&gt;='الافتراضات'!$C$119),INDEX($C26:$BM26,1,W7-'الافتراضات'!$C$119+4)*'الافتراضات'!$D$119,0)</f>
        <v/>
      </c>
      <c r="X37" s="45">
        <f>IF(AND('الافتراضات'!$C$112=1,X7&gt;='الافتراضات'!$C$119),INDEX($C26:$BM26,1,X7-'الافتراضات'!$C$119+4)*'الافتراضات'!$D$119,0)</f>
        <v/>
      </c>
      <c r="Y37" s="45">
        <f>IF(AND('الافتراضات'!$C$112=1,Y7&gt;='الافتراضات'!$C$119),INDEX($C26:$BM26,1,Y7-'الافتراضات'!$C$119+4)*'الافتراضات'!$D$119,0)</f>
        <v/>
      </c>
      <c r="Z37" s="45">
        <f>IF(AND('الافتراضات'!$C$112=1,Z7&gt;='الافتراضات'!$C$119),INDEX($C26:$BM26,1,Z7-'الافتراضات'!$C$119+4)*'الافتراضات'!$D$119,0)</f>
        <v/>
      </c>
      <c r="AA37" s="45">
        <f>IF(AND('الافتراضات'!$C$112=1,AA7&gt;='الافتراضات'!$C$119),INDEX($C26:$BM26,1,AA7-'الافتراضات'!$C$119+4)*'الافتراضات'!$D$119,0)</f>
        <v/>
      </c>
      <c r="AB37" s="45">
        <f>IF(AND('الافتراضات'!$C$112=1,AB7&gt;='الافتراضات'!$C$119),INDEX($C26:$BM26,1,AB7-'الافتراضات'!$C$119+4)*'الافتراضات'!$D$119,0)</f>
        <v/>
      </c>
      <c r="AC37" s="45">
        <f>IF(AND('الافتراضات'!$C$112=1,AC7&gt;='الافتراضات'!$C$119),INDEX($C26:$BM26,1,AC7-'الافتراضات'!$C$119+4)*'الافتراضات'!$D$119,0)</f>
        <v/>
      </c>
      <c r="AD37" s="45">
        <f>IF(AND('الافتراضات'!$C$112=1,AD7&gt;='الافتراضات'!$C$119),INDEX($C26:$BM26,1,AD7-'الافتراضات'!$C$119+4)*'الافتراضات'!$D$119,0)</f>
        <v/>
      </c>
      <c r="AE37" s="45">
        <f>IF(AND('الافتراضات'!$C$112=1,AE7&gt;='الافتراضات'!$C$119),INDEX($C26:$BM26,1,AE7-'الافتراضات'!$C$119+4)*'الافتراضات'!$D$119,0)</f>
        <v/>
      </c>
      <c r="AF37" s="45">
        <f>IF(AND('الافتراضات'!$C$112=1,AF7&gt;='الافتراضات'!$C$119),INDEX($C26:$BM26,1,AF7-'الافتراضات'!$C$119+4)*'الافتراضات'!$D$119,0)</f>
        <v/>
      </c>
      <c r="AG37" s="45">
        <f>IF(AND('الافتراضات'!$C$112=1,AG7&gt;='الافتراضات'!$C$119),INDEX($C26:$BM26,1,AG7-'الافتراضات'!$C$119+4)*'الافتراضات'!$D$119,0)</f>
        <v/>
      </c>
      <c r="AH37" s="45">
        <f>IF(AND('الافتراضات'!$C$112=1,AH7&gt;='الافتراضات'!$C$119),INDEX($C26:$BM26,1,AH7-'الافتراضات'!$C$119+4)*'الافتراضات'!$D$119,0)</f>
        <v/>
      </c>
      <c r="AI37" s="45">
        <f>IF(AND('الافتراضات'!$C$112=1,AI7&gt;='الافتراضات'!$C$119),INDEX($C26:$BM26,1,AI7-'الافتراضات'!$C$119+4)*'الافتراضات'!$D$119,0)</f>
        <v/>
      </c>
      <c r="AJ37" s="45">
        <f>IF(AND('الافتراضات'!$C$112=1,AJ7&gt;='الافتراضات'!$C$119),INDEX($C26:$BM26,1,AJ7-'الافتراضات'!$C$119+4)*'الافتراضات'!$D$119,0)</f>
        <v/>
      </c>
      <c r="AK37" s="45">
        <f>IF(AND('الافتراضات'!$C$112=1,AK7&gt;='الافتراضات'!$C$119),INDEX($C26:$BM26,1,AK7-'الافتراضات'!$C$119+4)*'الافتراضات'!$D$119,0)</f>
        <v/>
      </c>
      <c r="AL37" s="45">
        <f>IF(AND('الافتراضات'!$C$112=1,AL7&gt;='الافتراضات'!$C$119),INDEX($C26:$BM26,1,AL7-'الافتراضات'!$C$119+4)*'الافتراضات'!$D$119,0)</f>
        <v/>
      </c>
      <c r="AM37" s="45">
        <f>IF(AND('الافتراضات'!$C$112=1,AM7&gt;='الافتراضات'!$C$119),INDEX($C26:$BM26,1,AM7-'الافتراضات'!$C$119+4)*'الافتراضات'!$D$119,0)</f>
        <v/>
      </c>
      <c r="AN37" s="45">
        <f>IF(AND('الافتراضات'!$C$112=1,AN7&gt;='الافتراضات'!$C$119),INDEX($C26:$BM26,1,AN7-'الافتراضات'!$C$119+4)*'الافتراضات'!$D$119,0)</f>
        <v/>
      </c>
      <c r="AO37" s="45">
        <f>IF(AND('الافتراضات'!$C$112=1,AO7&gt;='الافتراضات'!$C$119),INDEX($C26:$BM26,1,AO7-'الافتراضات'!$C$119+4)*'الافتراضات'!$D$119,0)</f>
        <v/>
      </c>
      <c r="AP37" s="45">
        <f>IF(AND('الافتراضات'!$C$112=1,AP7&gt;='الافتراضات'!$C$119),INDEX($C26:$BM26,1,AP7-'الافتراضات'!$C$119+4)*'الافتراضات'!$D$119,0)</f>
        <v/>
      </c>
      <c r="AQ37" s="45">
        <f>IF(AND('الافتراضات'!$C$112=1,AQ7&gt;='الافتراضات'!$C$119),INDEX($C26:$BM26,1,AQ7-'الافتراضات'!$C$119+4)*'الافتراضات'!$D$119,0)</f>
        <v/>
      </c>
      <c r="AR37" s="45">
        <f>IF(AND('الافتراضات'!$C$112=1,AR7&gt;='الافتراضات'!$C$119),INDEX($C26:$BM26,1,AR7-'الافتراضات'!$C$119+4)*'الافتراضات'!$D$119,0)</f>
        <v/>
      </c>
      <c r="AS37" s="45">
        <f>IF(AND('الافتراضات'!$C$112=1,AS7&gt;='الافتراضات'!$C$119),INDEX($C26:$BM26,1,AS7-'الافتراضات'!$C$119+4)*'الافتراضات'!$D$119,0)</f>
        <v/>
      </c>
      <c r="AT37" s="45">
        <f>IF(AND('الافتراضات'!$C$112=1,AT7&gt;='الافتراضات'!$C$119),INDEX($C26:$BM26,1,AT7-'الافتراضات'!$C$119+4)*'الافتراضات'!$D$119,0)</f>
        <v/>
      </c>
      <c r="AU37" s="45">
        <f>IF(AND('الافتراضات'!$C$112=1,AU7&gt;='الافتراضات'!$C$119),INDEX($C26:$BM26,1,AU7-'الافتراضات'!$C$119+4)*'الافتراضات'!$D$119,0)</f>
        <v/>
      </c>
      <c r="AV37" s="45">
        <f>IF(AND('الافتراضات'!$C$112=1,AV7&gt;='الافتراضات'!$C$119),INDEX($C26:$BM26,1,AV7-'الافتراضات'!$C$119+4)*'الافتراضات'!$D$119,0)</f>
        <v/>
      </c>
      <c r="AW37" s="45">
        <f>IF(AND('الافتراضات'!$C$112=1,AW7&gt;='الافتراضات'!$C$119),INDEX($C26:$BM26,1,AW7-'الافتراضات'!$C$119+4)*'الافتراضات'!$D$119,0)</f>
        <v/>
      </c>
      <c r="AX37" s="45">
        <f>IF(AND('الافتراضات'!$C$112=1,AX7&gt;='الافتراضات'!$C$119),INDEX($C26:$BM26,1,AX7-'الافتراضات'!$C$119+4)*'الافتراضات'!$D$119,0)</f>
        <v/>
      </c>
      <c r="AY37" s="45">
        <f>IF(AND('الافتراضات'!$C$112=1,AY7&gt;='الافتراضات'!$C$119),INDEX($C26:$BM26,1,AY7-'الافتراضات'!$C$119+4)*'الافتراضات'!$D$119,0)</f>
        <v/>
      </c>
      <c r="AZ37" s="45">
        <f>IF(AND('الافتراضات'!$C$112=1,AZ7&gt;='الافتراضات'!$C$119),INDEX($C26:$BM26,1,AZ7-'الافتراضات'!$C$119+4)*'الافتراضات'!$D$119,0)</f>
        <v/>
      </c>
      <c r="BA37" s="45">
        <f>IF(AND('الافتراضات'!$C$112=1,BA7&gt;='الافتراضات'!$C$119),INDEX($C26:$BM26,1,BA7-'الافتراضات'!$C$119+4)*'الافتراضات'!$D$119,0)</f>
        <v/>
      </c>
      <c r="BB37" s="45">
        <f>IF(AND('الافتراضات'!$C$112=1,BB7&gt;='الافتراضات'!$C$119),INDEX($C26:$BM26,1,BB7-'الافتراضات'!$C$119+4)*'الافتراضات'!$D$119,0)</f>
        <v/>
      </c>
      <c r="BC37" s="45">
        <f>IF(AND('الافتراضات'!$C$112=1,BC7&gt;='الافتراضات'!$C$119),INDEX($C26:$BM26,1,BC7-'الافتراضات'!$C$119+4)*'الافتراضات'!$D$119,0)</f>
        <v/>
      </c>
      <c r="BD37" s="45">
        <f>IF(AND('الافتراضات'!$C$112=1,BD7&gt;='الافتراضات'!$C$119),INDEX($C26:$BM26,1,BD7-'الافتراضات'!$C$119+4)*'الافتراضات'!$D$119,0)</f>
        <v/>
      </c>
      <c r="BE37" s="45">
        <f>IF(AND('الافتراضات'!$C$112=1,BE7&gt;='الافتراضات'!$C$119),INDEX($C26:$BM26,1,BE7-'الافتراضات'!$C$119+4)*'الافتراضات'!$D$119,0)</f>
        <v/>
      </c>
      <c r="BF37" s="45">
        <f>IF(AND('الافتراضات'!$C$112=1,BF7&gt;='الافتراضات'!$C$119),INDEX($C26:$BM26,1,BF7-'الافتراضات'!$C$119+4)*'الافتراضات'!$D$119,0)</f>
        <v/>
      </c>
      <c r="BG37" s="45">
        <f>IF(AND('الافتراضات'!$C$112=1,BG7&gt;='الافتراضات'!$C$119),INDEX($C26:$BM26,1,BG7-'الافتراضات'!$C$119+4)*'الافتراضات'!$D$119,0)</f>
        <v/>
      </c>
      <c r="BH37" s="45">
        <f>IF(AND('الافتراضات'!$C$112=1,BH7&gt;='الافتراضات'!$C$119),INDEX($C26:$BM26,1,BH7-'الافتراضات'!$C$119+4)*'الافتراضات'!$D$119,0)</f>
        <v/>
      </c>
      <c r="BI37" s="45">
        <f>IF(AND('الافتراضات'!$C$112=1,BI7&gt;='الافتراضات'!$C$119),INDEX($C26:$BM26,1,BI7-'الافتراضات'!$C$119+4)*'الافتراضات'!$D$119,0)</f>
        <v/>
      </c>
      <c r="BJ37" s="45">
        <f>IF(AND('الافتراضات'!$C$112=1,BJ7&gt;='الافتراضات'!$C$119),INDEX($C26:$BM26,1,BJ7-'الافتراضات'!$C$119+4)*'الافتراضات'!$D$119,0)</f>
        <v/>
      </c>
      <c r="BK37" s="45">
        <f>IF(AND('الافتراضات'!$C$112=1,BK7&gt;='الافتراضات'!$C$119),INDEX($C26:$BM26,1,BK7-'الافتراضات'!$C$119+4)*'الافتراضات'!$D$119,0)</f>
        <v/>
      </c>
      <c r="BL37" s="45">
        <f>IF(AND('الافتراضات'!$C$112=1,BL7&gt;='الافتراضات'!$C$119),INDEX($C26:$BM26,1,BL7-'الافتراضات'!$C$119+4)*'الافتراضات'!$D$119,0)</f>
        <v/>
      </c>
      <c r="BM37" s="45">
        <f>IF(AND('الافتراضات'!$C$112=1,BM7&gt;='الافتراضات'!$C$119),INDEX($C26:$BM26,1,BM7-'الافتراضات'!$C$119+4)*'الافتراضات'!$D$119,0)</f>
        <v/>
      </c>
    </row>
    <row r="38">
      <c r="A38" s="4" t="inlineStr">
        <is>
          <t>الطلبات — كوم حمادة</t>
        </is>
      </c>
      <c r="B38" s="22" t="inlineStr">
        <is>
          <t>#</t>
        </is>
      </c>
      <c r="C38" s="45">
        <f>IF(AND('الافتراضات'!$C$112=1,C7&gt;='الافتراضات'!$C$120),INDEX($C26:$BM26,1,C7-'الافتراضات'!$C$120+4)*'الافتراضات'!$D$120,0)</f>
        <v/>
      </c>
      <c r="D38" s="45">
        <f>IF(AND('الافتراضات'!$C$112=1,D7&gt;='الافتراضات'!$C$120),INDEX($C26:$BM26,1,D7-'الافتراضات'!$C$120+4)*'الافتراضات'!$D$120,0)</f>
        <v/>
      </c>
      <c r="E38" s="45">
        <f>IF(AND('الافتراضات'!$C$112=1,E7&gt;='الافتراضات'!$C$120),INDEX($C26:$BM26,1,E7-'الافتراضات'!$C$120+4)*'الافتراضات'!$D$120,0)</f>
        <v/>
      </c>
      <c r="F38" s="45">
        <f>IF(AND('الافتراضات'!$C$112=1,F7&gt;='الافتراضات'!$C$120),INDEX($C26:$BM26,1,F7-'الافتراضات'!$C$120+4)*'الافتراضات'!$D$120,0)</f>
        <v/>
      </c>
      <c r="G38" s="45">
        <f>IF(AND('الافتراضات'!$C$112=1,G7&gt;='الافتراضات'!$C$120),INDEX($C26:$BM26,1,G7-'الافتراضات'!$C$120+4)*'الافتراضات'!$D$120,0)</f>
        <v/>
      </c>
      <c r="H38" s="45">
        <f>IF(AND('الافتراضات'!$C$112=1,H7&gt;='الافتراضات'!$C$120),INDEX($C26:$BM26,1,H7-'الافتراضات'!$C$120+4)*'الافتراضات'!$D$120,0)</f>
        <v/>
      </c>
      <c r="I38" s="45">
        <f>IF(AND('الافتراضات'!$C$112=1,I7&gt;='الافتراضات'!$C$120),INDEX($C26:$BM26,1,I7-'الافتراضات'!$C$120+4)*'الافتراضات'!$D$120,0)</f>
        <v/>
      </c>
      <c r="J38" s="45">
        <f>IF(AND('الافتراضات'!$C$112=1,J7&gt;='الافتراضات'!$C$120),INDEX($C26:$BM26,1,J7-'الافتراضات'!$C$120+4)*'الافتراضات'!$D$120,0)</f>
        <v/>
      </c>
      <c r="K38" s="45">
        <f>IF(AND('الافتراضات'!$C$112=1,K7&gt;='الافتراضات'!$C$120),INDEX($C26:$BM26,1,K7-'الافتراضات'!$C$120+4)*'الافتراضات'!$D$120,0)</f>
        <v/>
      </c>
      <c r="L38" s="45">
        <f>IF(AND('الافتراضات'!$C$112=1,L7&gt;='الافتراضات'!$C$120),INDEX($C26:$BM26,1,L7-'الافتراضات'!$C$120+4)*'الافتراضات'!$D$120,0)</f>
        <v/>
      </c>
      <c r="M38" s="45">
        <f>IF(AND('الافتراضات'!$C$112=1,M7&gt;='الافتراضات'!$C$120),INDEX($C26:$BM26,1,M7-'الافتراضات'!$C$120+4)*'الافتراضات'!$D$120,0)</f>
        <v/>
      </c>
      <c r="N38" s="45">
        <f>IF(AND('الافتراضات'!$C$112=1,N7&gt;='الافتراضات'!$C$120),INDEX($C26:$BM26,1,N7-'الافتراضات'!$C$120+4)*'الافتراضات'!$D$120,0)</f>
        <v/>
      </c>
      <c r="O38" s="45">
        <f>IF(AND('الافتراضات'!$C$112=1,O7&gt;='الافتراضات'!$C$120),INDEX($C26:$BM26,1,O7-'الافتراضات'!$C$120+4)*'الافتراضات'!$D$120,0)</f>
        <v/>
      </c>
      <c r="P38" s="45">
        <f>IF(AND('الافتراضات'!$C$112=1,P7&gt;='الافتراضات'!$C$120),INDEX($C26:$BM26,1,P7-'الافتراضات'!$C$120+4)*'الافتراضات'!$D$120,0)</f>
        <v/>
      </c>
      <c r="Q38" s="45">
        <f>IF(AND('الافتراضات'!$C$112=1,Q7&gt;='الافتراضات'!$C$120),INDEX($C26:$BM26,1,Q7-'الافتراضات'!$C$120+4)*'الافتراضات'!$D$120,0)</f>
        <v/>
      </c>
      <c r="R38" s="45">
        <f>IF(AND('الافتراضات'!$C$112=1,R7&gt;='الافتراضات'!$C$120),INDEX($C26:$BM26,1,R7-'الافتراضات'!$C$120+4)*'الافتراضات'!$D$120,0)</f>
        <v/>
      </c>
      <c r="S38" s="45">
        <f>IF(AND('الافتراضات'!$C$112=1,S7&gt;='الافتراضات'!$C$120),INDEX($C26:$BM26,1,S7-'الافتراضات'!$C$120+4)*'الافتراضات'!$D$120,0)</f>
        <v/>
      </c>
      <c r="T38" s="45">
        <f>IF(AND('الافتراضات'!$C$112=1,T7&gt;='الافتراضات'!$C$120),INDEX($C26:$BM26,1,T7-'الافتراضات'!$C$120+4)*'الافتراضات'!$D$120,0)</f>
        <v/>
      </c>
      <c r="U38" s="45">
        <f>IF(AND('الافتراضات'!$C$112=1,U7&gt;='الافتراضات'!$C$120),INDEX($C26:$BM26,1,U7-'الافتراضات'!$C$120+4)*'الافتراضات'!$D$120,0)</f>
        <v/>
      </c>
      <c r="V38" s="45">
        <f>IF(AND('الافتراضات'!$C$112=1,V7&gt;='الافتراضات'!$C$120),INDEX($C26:$BM26,1,V7-'الافتراضات'!$C$120+4)*'الافتراضات'!$D$120,0)</f>
        <v/>
      </c>
      <c r="W38" s="45">
        <f>IF(AND('الافتراضات'!$C$112=1,W7&gt;='الافتراضات'!$C$120),INDEX($C26:$BM26,1,W7-'الافتراضات'!$C$120+4)*'الافتراضات'!$D$120,0)</f>
        <v/>
      </c>
      <c r="X38" s="45">
        <f>IF(AND('الافتراضات'!$C$112=1,X7&gt;='الافتراضات'!$C$120),INDEX($C26:$BM26,1,X7-'الافتراضات'!$C$120+4)*'الافتراضات'!$D$120,0)</f>
        <v/>
      </c>
      <c r="Y38" s="45">
        <f>IF(AND('الافتراضات'!$C$112=1,Y7&gt;='الافتراضات'!$C$120),INDEX($C26:$BM26,1,Y7-'الافتراضات'!$C$120+4)*'الافتراضات'!$D$120,0)</f>
        <v/>
      </c>
      <c r="Z38" s="45">
        <f>IF(AND('الافتراضات'!$C$112=1,Z7&gt;='الافتراضات'!$C$120),INDEX($C26:$BM26,1,Z7-'الافتراضات'!$C$120+4)*'الافتراضات'!$D$120,0)</f>
        <v/>
      </c>
      <c r="AA38" s="45">
        <f>IF(AND('الافتراضات'!$C$112=1,AA7&gt;='الافتراضات'!$C$120),INDEX($C26:$BM26,1,AA7-'الافتراضات'!$C$120+4)*'الافتراضات'!$D$120,0)</f>
        <v/>
      </c>
      <c r="AB38" s="45">
        <f>IF(AND('الافتراضات'!$C$112=1,AB7&gt;='الافتراضات'!$C$120),INDEX($C26:$BM26,1,AB7-'الافتراضات'!$C$120+4)*'الافتراضات'!$D$120,0)</f>
        <v/>
      </c>
      <c r="AC38" s="45">
        <f>IF(AND('الافتراضات'!$C$112=1,AC7&gt;='الافتراضات'!$C$120),INDEX($C26:$BM26,1,AC7-'الافتراضات'!$C$120+4)*'الافتراضات'!$D$120,0)</f>
        <v/>
      </c>
      <c r="AD38" s="45">
        <f>IF(AND('الافتراضات'!$C$112=1,AD7&gt;='الافتراضات'!$C$120),INDEX($C26:$BM26,1,AD7-'الافتراضات'!$C$120+4)*'الافتراضات'!$D$120,0)</f>
        <v/>
      </c>
      <c r="AE38" s="45">
        <f>IF(AND('الافتراضات'!$C$112=1,AE7&gt;='الافتراضات'!$C$120),INDEX($C26:$BM26,1,AE7-'الافتراضات'!$C$120+4)*'الافتراضات'!$D$120,0)</f>
        <v/>
      </c>
      <c r="AF38" s="45">
        <f>IF(AND('الافتراضات'!$C$112=1,AF7&gt;='الافتراضات'!$C$120),INDEX($C26:$BM26,1,AF7-'الافتراضات'!$C$120+4)*'الافتراضات'!$D$120,0)</f>
        <v/>
      </c>
      <c r="AG38" s="45">
        <f>IF(AND('الافتراضات'!$C$112=1,AG7&gt;='الافتراضات'!$C$120),INDEX($C26:$BM26,1,AG7-'الافتراضات'!$C$120+4)*'الافتراضات'!$D$120,0)</f>
        <v/>
      </c>
      <c r="AH38" s="45">
        <f>IF(AND('الافتراضات'!$C$112=1,AH7&gt;='الافتراضات'!$C$120),INDEX($C26:$BM26,1,AH7-'الافتراضات'!$C$120+4)*'الافتراضات'!$D$120,0)</f>
        <v/>
      </c>
      <c r="AI38" s="45">
        <f>IF(AND('الافتراضات'!$C$112=1,AI7&gt;='الافتراضات'!$C$120),INDEX($C26:$BM26,1,AI7-'الافتراضات'!$C$120+4)*'الافتراضات'!$D$120,0)</f>
        <v/>
      </c>
      <c r="AJ38" s="45">
        <f>IF(AND('الافتراضات'!$C$112=1,AJ7&gt;='الافتراضات'!$C$120),INDEX($C26:$BM26,1,AJ7-'الافتراضات'!$C$120+4)*'الافتراضات'!$D$120,0)</f>
        <v/>
      </c>
      <c r="AK38" s="45">
        <f>IF(AND('الافتراضات'!$C$112=1,AK7&gt;='الافتراضات'!$C$120),INDEX($C26:$BM26,1,AK7-'الافتراضات'!$C$120+4)*'الافتراضات'!$D$120,0)</f>
        <v/>
      </c>
      <c r="AL38" s="45">
        <f>IF(AND('الافتراضات'!$C$112=1,AL7&gt;='الافتراضات'!$C$120),INDEX($C26:$BM26,1,AL7-'الافتراضات'!$C$120+4)*'الافتراضات'!$D$120,0)</f>
        <v/>
      </c>
      <c r="AM38" s="45">
        <f>IF(AND('الافتراضات'!$C$112=1,AM7&gt;='الافتراضات'!$C$120),INDEX($C26:$BM26,1,AM7-'الافتراضات'!$C$120+4)*'الافتراضات'!$D$120,0)</f>
        <v/>
      </c>
      <c r="AN38" s="45">
        <f>IF(AND('الافتراضات'!$C$112=1,AN7&gt;='الافتراضات'!$C$120),INDEX($C26:$BM26,1,AN7-'الافتراضات'!$C$120+4)*'الافتراضات'!$D$120,0)</f>
        <v/>
      </c>
      <c r="AO38" s="45">
        <f>IF(AND('الافتراضات'!$C$112=1,AO7&gt;='الافتراضات'!$C$120),INDEX($C26:$BM26,1,AO7-'الافتراضات'!$C$120+4)*'الافتراضات'!$D$120,0)</f>
        <v/>
      </c>
      <c r="AP38" s="45">
        <f>IF(AND('الافتراضات'!$C$112=1,AP7&gt;='الافتراضات'!$C$120),INDEX($C26:$BM26,1,AP7-'الافتراضات'!$C$120+4)*'الافتراضات'!$D$120,0)</f>
        <v/>
      </c>
      <c r="AQ38" s="45">
        <f>IF(AND('الافتراضات'!$C$112=1,AQ7&gt;='الافتراضات'!$C$120),INDEX($C26:$BM26,1,AQ7-'الافتراضات'!$C$120+4)*'الافتراضات'!$D$120,0)</f>
        <v/>
      </c>
      <c r="AR38" s="45">
        <f>IF(AND('الافتراضات'!$C$112=1,AR7&gt;='الافتراضات'!$C$120),INDEX($C26:$BM26,1,AR7-'الافتراضات'!$C$120+4)*'الافتراضات'!$D$120,0)</f>
        <v/>
      </c>
      <c r="AS38" s="45">
        <f>IF(AND('الافتراضات'!$C$112=1,AS7&gt;='الافتراضات'!$C$120),INDEX($C26:$BM26,1,AS7-'الافتراضات'!$C$120+4)*'الافتراضات'!$D$120,0)</f>
        <v/>
      </c>
      <c r="AT38" s="45">
        <f>IF(AND('الافتراضات'!$C$112=1,AT7&gt;='الافتراضات'!$C$120),INDEX($C26:$BM26,1,AT7-'الافتراضات'!$C$120+4)*'الافتراضات'!$D$120,0)</f>
        <v/>
      </c>
      <c r="AU38" s="45">
        <f>IF(AND('الافتراضات'!$C$112=1,AU7&gt;='الافتراضات'!$C$120),INDEX($C26:$BM26,1,AU7-'الافتراضات'!$C$120+4)*'الافتراضات'!$D$120,0)</f>
        <v/>
      </c>
      <c r="AV38" s="45">
        <f>IF(AND('الافتراضات'!$C$112=1,AV7&gt;='الافتراضات'!$C$120),INDEX($C26:$BM26,1,AV7-'الافتراضات'!$C$120+4)*'الافتراضات'!$D$120,0)</f>
        <v/>
      </c>
      <c r="AW38" s="45">
        <f>IF(AND('الافتراضات'!$C$112=1,AW7&gt;='الافتراضات'!$C$120),INDEX($C26:$BM26,1,AW7-'الافتراضات'!$C$120+4)*'الافتراضات'!$D$120,0)</f>
        <v/>
      </c>
      <c r="AX38" s="45">
        <f>IF(AND('الافتراضات'!$C$112=1,AX7&gt;='الافتراضات'!$C$120),INDEX($C26:$BM26,1,AX7-'الافتراضات'!$C$120+4)*'الافتراضات'!$D$120,0)</f>
        <v/>
      </c>
      <c r="AY38" s="45">
        <f>IF(AND('الافتراضات'!$C$112=1,AY7&gt;='الافتراضات'!$C$120),INDEX($C26:$BM26,1,AY7-'الافتراضات'!$C$120+4)*'الافتراضات'!$D$120,0)</f>
        <v/>
      </c>
      <c r="AZ38" s="45">
        <f>IF(AND('الافتراضات'!$C$112=1,AZ7&gt;='الافتراضات'!$C$120),INDEX($C26:$BM26,1,AZ7-'الافتراضات'!$C$120+4)*'الافتراضات'!$D$120,0)</f>
        <v/>
      </c>
      <c r="BA38" s="45">
        <f>IF(AND('الافتراضات'!$C$112=1,BA7&gt;='الافتراضات'!$C$120),INDEX($C26:$BM26,1,BA7-'الافتراضات'!$C$120+4)*'الافتراضات'!$D$120,0)</f>
        <v/>
      </c>
      <c r="BB38" s="45">
        <f>IF(AND('الافتراضات'!$C$112=1,BB7&gt;='الافتراضات'!$C$120),INDEX($C26:$BM26,1,BB7-'الافتراضات'!$C$120+4)*'الافتراضات'!$D$120,0)</f>
        <v/>
      </c>
      <c r="BC38" s="45">
        <f>IF(AND('الافتراضات'!$C$112=1,BC7&gt;='الافتراضات'!$C$120),INDEX($C26:$BM26,1,BC7-'الافتراضات'!$C$120+4)*'الافتراضات'!$D$120,0)</f>
        <v/>
      </c>
      <c r="BD38" s="45">
        <f>IF(AND('الافتراضات'!$C$112=1,BD7&gt;='الافتراضات'!$C$120),INDEX($C26:$BM26,1,BD7-'الافتراضات'!$C$120+4)*'الافتراضات'!$D$120,0)</f>
        <v/>
      </c>
      <c r="BE38" s="45">
        <f>IF(AND('الافتراضات'!$C$112=1,BE7&gt;='الافتراضات'!$C$120),INDEX($C26:$BM26,1,BE7-'الافتراضات'!$C$120+4)*'الافتراضات'!$D$120,0)</f>
        <v/>
      </c>
      <c r="BF38" s="45">
        <f>IF(AND('الافتراضات'!$C$112=1,BF7&gt;='الافتراضات'!$C$120),INDEX($C26:$BM26,1,BF7-'الافتراضات'!$C$120+4)*'الافتراضات'!$D$120,0)</f>
        <v/>
      </c>
      <c r="BG38" s="45">
        <f>IF(AND('الافتراضات'!$C$112=1,BG7&gt;='الافتراضات'!$C$120),INDEX($C26:$BM26,1,BG7-'الافتراضات'!$C$120+4)*'الافتراضات'!$D$120,0)</f>
        <v/>
      </c>
      <c r="BH38" s="45">
        <f>IF(AND('الافتراضات'!$C$112=1,BH7&gt;='الافتراضات'!$C$120),INDEX($C26:$BM26,1,BH7-'الافتراضات'!$C$120+4)*'الافتراضات'!$D$120,0)</f>
        <v/>
      </c>
      <c r="BI38" s="45">
        <f>IF(AND('الافتراضات'!$C$112=1,BI7&gt;='الافتراضات'!$C$120),INDEX($C26:$BM26,1,BI7-'الافتراضات'!$C$120+4)*'الافتراضات'!$D$120,0)</f>
        <v/>
      </c>
      <c r="BJ38" s="45">
        <f>IF(AND('الافتراضات'!$C$112=1,BJ7&gt;='الافتراضات'!$C$120),INDEX($C26:$BM26,1,BJ7-'الافتراضات'!$C$120+4)*'الافتراضات'!$D$120,0)</f>
        <v/>
      </c>
      <c r="BK38" s="45">
        <f>IF(AND('الافتراضات'!$C$112=1,BK7&gt;='الافتراضات'!$C$120),INDEX($C26:$BM26,1,BK7-'الافتراضات'!$C$120+4)*'الافتراضات'!$D$120,0)</f>
        <v/>
      </c>
      <c r="BL38" s="45">
        <f>IF(AND('الافتراضات'!$C$112=1,BL7&gt;='الافتراضات'!$C$120),INDEX($C26:$BM26,1,BL7-'الافتراضات'!$C$120+4)*'الافتراضات'!$D$120,0)</f>
        <v/>
      </c>
      <c r="BM38" s="45">
        <f>IF(AND('الافتراضات'!$C$112=1,BM7&gt;='الافتراضات'!$C$120),INDEX($C26:$BM26,1,BM7-'الافتراضات'!$C$120+4)*'الافتراضات'!$D$120,0)</f>
        <v/>
      </c>
    </row>
    <row r="39">
      <c r="A39" s="4" t="inlineStr">
        <is>
          <t>الطلبات — بدر</t>
        </is>
      </c>
      <c r="B39" s="22" t="inlineStr">
        <is>
          <t>#</t>
        </is>
      </c>
      <c r="C39" s="45">
        <f>IF(AND('الافتراضات'!$C$112=1,C7&gt;='الافتراضات'!$C$121),INDEX($C26:$BM26,1,C7-'الافتراضات'!$C$121+4)*'الافتراضات'!$D$121,0)</f>
        <v/>
      </c>
      <c r="D39" s="45">
        <f>IF(AND('الافتراضات'!$C$112=1,D7&gt;='الافتراضات'!$C$121),INDEX($C26:$BM26,1,D7-'الافتراضات'!$C$121+4)*'الافتراضات'!$D$121,0)</f>
        <v/>
      </c>
      <c r="E39" s="45">
        <f>IF(AND('الافتراضات'!$C$112=1,E7&gt;='الافتراضات'!$C$121),INDEX($C26:$BM26,1,E7-'الافتراضات'!$C$121+4)*'الافتراضات'!$D$121,0)</f>
        <v/>
      </c>
      <c r="F39" s="45">
        <f>IF(AND('الافتراضات'!$C$112=1,F7&gt;='الافتراضات'!$C$121),INDEX($C26:$BM26,1,F7-'الافتراضات'!$C$121+4)*'الافتراضات'!$D$121,0)</f>
        <v/>
      </c>
      <c r="G39" s="45">
        <f>IF(AND('الافتراضات'!$C$112=1,G7&gt;='الافتراضات'!$C$121),INDEX($C26:$BM26,1,G7-'الافتراضات'!$C$121+4)*'الافتراضات'!$D$121,0)</f>
        <v/>
      </c>
      <c r="H39" s="45">
        <f>IF(AND('الافتراضات'!$C$112=1,H7&gt;='الافتراضات'!$C$121),INDEX($C26:$BM26,1,H7-'الافتراضات'!$C$121+4)*'الافتراضات'!$D$121,0)</f>
        <v/>
      </c>
      <c r="I39" s="45">
        <f>IF(AND('الافتراضات'!$C$112=1,I7&gt;='الافتراضات'!$C$121),INDEX($C26:$BM26,1,I7-'الافتراضات'!$C$121+4)*'الافتراضات'!$D$121,0)</f>
        <v/>
      </c>
      <c r="J39" s="45">
        <f>IF(AND('الافتراضات'!$C$112=1,J7&gt;='الافتراضات'!$C$121),INDEX($C26:$BM26,1,J7-'الافتراضات'!$C$121+4)*'الافتراضات'!$D$121,0)</f>
        <v/>
      </c>
      <c r="K39" s="45">
        <f>IF(AND('الافتراضات'!$C$112=1,K7&gt;='الافتراضات'!$C$121),INDEX($C26:$BM26,1,K7-'الافتراضات'!$C$121+4)*'الافتراضات'!$D$121,0)</f>
        <v/>
      </c>
      <c r="L39" s="45">
        <f>IF(AND('الافتراضات'!$C$112=1,L7&gt;='الافتراضات'!$C$121),INDEX($C26:$BM26,1,L7-'الافتراضات'!$C$121+4)*'الافتراضات'!$D$121,0)</f>
        <v/>
      </c>
      <c r="M39" s="45">
        <f>IF(AND('الافتراضات'!$C$112=1,M7&gt;='الافتراضات'!$C$121),INDEX($C26:$BM26,1,M7-'الافتراضات'!$C$121+4)*'الافتراضات'!$D$121,0)</f>
        <v/>
      </c>
      <c r="N39" s="45">
        <f>IF(AND('الافتراضات'!$C$112=1,N7&gt;='الافتراضات'!$C$121),INDEX($C26:$BM26,1,N7-'الافتراضات'!$C$121+4)*'الافتراضات'!$D$121,0)</f>
        <v/>
      </c>
      <c r="O39" s="45">
        <f>IF(AND('الافتراضات'!$C$112=1,O7&gt;='الافتراضات'!$C$121),INDEX($C26:$BM26,1,O7-'الافتراضات'!$C$121+4)*'الافتراضات'!$D$121,0)</f>
        <v/>
      </c>
      <c r="P39" s="45">
        <f>IF(AND('الافتراضات'!$C$112=1,P7&gt;='الافتراضات'!$C$121),INDEX($C26:$BM26,1,P7-'الافتراضات'!$C$121+4)*'الافتراضات'!$D$121,0)</f>
        <v/>
      </c>
      <c r="Q39" s="45">
        <f>IF(AND('الافتراضات'!$C$112=1,Q7&gt;='الافتراضات'!$C$121),INDEX($C26:$BM26,1,Q7-'الافتراضات'!$C$121+4)*'الافتراضات'!$D$121,0)</f>
        <v/>
      </c>
      <c r="R39" s="45">
        <f>IF(AND('الافتراضات'!$C$112=1,R7&gt;='الافتراضات'!$C$121),INDEX($C26:$BM26,1,R7-'الافتراضات'!$C$121+4)*'الافتراضات'!$D$121,0)</f>
        <v/>
      </c>
      <c r="S39" s="45">
        <f>IF(AND('الافتراضات'!$C$112=1,S7&gt;='الافتراضات'!$C$121),INDEX($C26:$BM26,1,S7-'الافتراضات'!$C$121+4)*'الافتراضات'!$D$121,0)</f>
        <v/>
      </c>
      <c r="T39" s="45">
        <f>IF(AND('الافتراضات'!$C$112=1,T7&gt;='الافتراضات'!$C$121),INDEX($C26:$BM26,1,T7-'الافتراضات'!$C$121+4)*'الافتراضات'!$D$121,0)</f>
        <v/>
      </c>
      <c r="U39" s="45">
        <f>IF(AND('الافتراضات'!$C$112=1,U7&gt;='الافتراضات'!$C$121),INDEX($C26:$BM26,1,U7-'الافتراضات'!$C$121+4)*'الافتراضات'!$D$121,0)</f>
        <v/>
      </c>
      <c r="V39" s="45">
        <f>IF(AND('الافتراضات'!$C$112=1,V7&gt;='الافتراضات'!$C$121),INDEX($C26:$BM26,1,V7-'الافتراضات'!$C$121+4)*'الافتراضات'!$D$121,0)</f>
        <v/>
      </c>
      <c r="W39" s="45">
        <f>IF(AND('الافتراضات'!$C$112=1,W7&gt;='الافتراضات'!$C$121),INDEX($C26:$BM26,1,W7-'الافتراضات'!$C$121+4)*'الافتراضات'!$D$121,0)</f>
        <v/>
      </c>
      <c r="X39" s="45">
        <f>IF(AND('الافتراضات'!$C$112=1,X7&gt;='الافتراضات'!$C$121),INDEX($C26:$BM26,1,X7-'الافتراضات'!$C$121+4)*'الافتراضات'!$D$121,0)</f>
        <v/>
      </c>
      <c r="Y39" s="45">
        <f>IF(AND('الافتراضات'!$C$112=1,Y7&gt;='الافتراضات'!$C$121),INDEX($C26:$BM26,1,Y7-'الافتراضات'!$C$121+4)*'الافتراضات'!$D$121,0)</f>
        <v/>
      </c>
      <c r="Z39" s="45">
        <f>IF(AND('الافتراضات'!$C$112=1,Z7&gt;='الافتراضات'!$C$121),INDEX($C26:$BM26,1,Z7-'الافتراضات'!$C$121+4)*'الافتراضات'!$D$121,0)</f>
        <v/>
      </c>
      <c r="AA39" s="45">
        <f>IF(AND('الافتراضات'!$C$112=1,AA7&gt;='الافتراضات'!$C$121),INDEX($C26:$BM26,1,AA7-'الافتراضات'!$C$121+4)*'الافتراضات'!$D$121,0)</f>
        <v/>
      </c>
      <c r="AB39" s="45">
        <f>IF(AND('الافتراضات'!$C$112=1,AB7&gt;='الافتراضات'!$C$121),INDEX($C26:$BM26,1,AB7-'الافتراضات'!$C$121+4)*'الافتراضات'!$D$121,0)</f>
        <v/>
      </c>
      <c r="AC39" s="45">
        <f>IF(AND('الافتراضات'!$C$112=1,AC7&gt;='الافتراضات'!$C$121),INDEX($C26:$BM26,1,AC7-'الافتراضات'!$C$121+4)*'الافتراضات'!$D$121,0)</f>
        <v/>
      </c>
      <c r="AD39" s="45">
        <f>IF(AND('الافتراضات'!$C$112=1,AD7&gt;='الافتراضات'!$C$121),INDEX($C26:$BM26,1,AD7-'الافتراضات'!$C$121+4)*'الافتراضات'!$D$121,0)</f>
        <v/>
      </c>
      <c r="AE39" s="45">
        <f>IF(AND('الافتراضات'!$C$112=1,AE7&gt;='الافتراضات'!$C$121),INDEX($C26:$BM26,1,AE7-'الافتراضات'!$C$121+4)*'الافتراضات'!$D$121,0)</f>
        <v/>
      </c>
      <c r="AF39" s="45">
        <f>IF(AND('الافتراضات'!$C$112=1,AF7&gt;='الافتراضات'!$C$121),INDEX($C26:$BM26,1,AF7-'الافتراضات'!$C$121+4)*'الافتراضات'!$D$121,0)</f>
        <v/>
      </c>
      <c r="AG39" s="45">
        <f>IF(AND('الافتراضات'!$C$112=1,AG7&gt;='الافتراضات'!$C$121),INDEX($C26:$BM26,1,AG7-'الافتراضات'!$C$121+4)*'الافتراضات'!$D$121,0)</f>
        <v/>
      </c>
      <c r="AH39" s="45">
        <f>IF(AND('الافتراضات'!$C$112=1,AH7&gt;='الافتراضات'!$C$121),INDEX($C26:$BM26,1,AH7-'الافتراضات'!$C$121+4)*'الافتراضات'!$D$121,0)</f>
        <v/>
      </c>
      <c r="AI39" s="45">
        <f>IF(AND('الافتراضات'!$C$112=1,AI7&gt;='الافتراضات'!$C$121),INDEX($C26:$BM26,1,AI7-'الافتراضات'!$C$121+4)*'الافتراضات'!$D$121,0)</f>
        <v/>
      </c>
      <c r="AJ39" s="45">
        <f>IF(AND('الافتراضات'!$C$112=1,AJ7&gt;='الافتراضات'!$C$121),INDEX($C26:$BM26,1,AJ7-'الافتراضات'!$C$121+4)*'الافتراضات'!$D$121,0)</f>
        <v/>
      </c>
      <c r="AK39" s="45">
        <f>IF(AND('الافتراضات'!$C$112=1,AK7&gt;='الافتراضات'!$C$121),INDEX($C26:$BM26,1,AK7-'الافتراضات'!$C$121+4)*'الافتراضات'!$D$121,0)</f>
        <v/>
      </c>
      <c r="AL39" s="45">
        <f>IF(AND('الافتراضات'!$C$112=1,AL7&gt;='الافتراضات'!$C$121),INDEX($C26:$BM26,1,AL7-'الافتراضات'!$C$121+4)*'الافتراضات'!$D$121,0)</f>
        <v/>
      </c>
      <c r="AM39" s="45">
        <f>IF(AND('الافتراضات'!$C$112=1,AM7&gt;='الافتراضات'!$C$121),INDEX($C26:$BM26,1,AM7-'الافتراضات'!$C$121+4)*'الافتراضات'!$D$121,0)</f>
        <v/>
      </c>
      <c r="AN39" s="45">
        <f>IF(AND('الافتراضات'!$C$112=1,AN7&gt;='الافتراضات'!$C$121),INDEX($C26:$BM26,1,AN7-'الافتراضات'!$C$121+4)*'الافتراضات'!$D$121,0)</f>
        <v/>
      </c>
      <c r="AO39" s="45">
        <f>IF(AND('الافتراضات'!$C$112=1,AO7&gt;='الافتراضات'!$C$121),INDEX($C26:$BM26,1,AO7-'الافتراضات'!$C$121+4)*'الافتراضات'!$D$121,0)</f>
        <v/>
      </c>
      <c r="AP39" s="45">
        <f>IF(AND('الافتراضات'!$C$112=1,AP7&gt;='الافتراضات'!$C$121),INDEX($C26:$BM26,1,AP7-'الافتراضات'!$C$121+4)*'الافتراضات'!$D$121,0)</f>
        <v/>
      </c>
      <c r="AQ39" s="45">
        <f>IF(AND('الافتراضات'!$C$112=1,AQ7&gt;='الافتراضات'!$C$121),INDEX($C26:$BM26,1,AQ7-'الافتراضات'!$C$121+4)*'الافتراضات'!$D$121,0)</f>
        <v/>
      </c>
      <c r="AR39" s="45">
        <f>IF(AND('الافتراضات'!$C$112=1,AR7&gt;='الافتراضات'!$C$121),INDEX($C26:$BM26,1,AR7-'الافتراضات'!$C$121+4)*'الافتراضات'!$D$121,0)</f>
        <v/>
      </c>
      <c r="AS39" s="45">
        <f>IF(AND('الافتراضات'!$C$112=1,AS7&gt;='الافتراضات'!$C$121),INDEX($C26:$BM26,1,AS7-'الافتراضات'!$C$121+4)*'الافتراضات'!$D$121,0)</f>
        <v/>
      </c>
      <c r="AT39" s="45">
        <f>IF(AND('الافتراضات'!$C$112=1,AT7&gt;='الافتراضات'!$C$121),INDEX($C26:$BM26,1,AT7-'الافتراضات'!$C$121+4)*'الافتراضات'!$D$121,0)</f>
        <v/>
      </c>
      <c r="AU39" s="45">
        <f>IF(AND('الافتراضات'!$C$112=1,AU7&gt;='الافتراضات'!$C$121),INDEX($C26:$BM26,1,AU7-'الافتراضات'!$C$121+4)*'الافتراضات'!$D$121,0)</f>
        <v/>
      </c>
      <c r="AV39" s="45">
        <f>IF(AND('الافتراضات'!$C$112=1,AV7&gt;='الافتراضات'!$C$121),INDEX($C26:$BM26,1,AV7-'الافتراضات'!$C$121+4)*'الافتراضات'!$D$121,0)</f>
        <v/>
      </c>
      <c r="AW39" s="45">
        <f>IF(AND('الافتراضات'!$C$112=1,AW7&gt;='الافتراضات'!$C$121),INDEX($C26:$BM26,1,AW7-'الافتراضات'!$C$121+4)*'الافتراضات'!$D$121,0)</f>
        <v/>
      </c>
      <c r="AX39" s="45">
        <f>IF(AND('الافتراضات'!$C$112=1,AX7&gt;='الافتراضات'!$C$121),INDEX($C26:$BM26,1,AX7-'الافتراضات'!$C$121+4)*'الافتراضات'!$D$121,0)</f>
        <v/>
      </c>
      <c r="AY39" s="45">
        <f>IF(AND('الافتراضات'!$C$112=1,AY7&gt;='الافتراضات'!$C$121),INDEX($C26:$BM26,1,AY7-'الافتراضات'!$C$121+4)*'الافتراضات'!$D$121,0)</f>
        <v/>
      </c>
      <c r="AZ39" s="45">
        <f>IF(AND('الافتراضات'!$C$112=1,AZ7&gt;='الافتراضات'!$C$121),INDEX($C26:$BM26,1,AZ7-'الافتراضات'!$C$121+4)*'الافتراضات'!$D$121,0)</f>
        <v/>
      </c>
      <c r="BA39" s="45">
        <f>IF(AND('الافتراضات'!$C$112=1,BA7&gt;='الافتراضات'!$C$121),INDEX($C26:$BM26,1,BA7-'الافتراضات'!$C$121+4)*'الافتراضات'!$D$121,0)</f>
        <v/>
      </c>
      <c r="BB39" s="45">
        <f>IF(AND('الافتراضات'!$C$112=1,BB7&gt;='الافتراضات'!$C$121),INDEX($C26:$BM26,1,BB7-'الافتراضات'!$C$121+4)*'الافتراضات'!$D$121,0)</f>
        <v/>
      </c>
      <c r="BC39" s="45">
        <f>IF(AND('الافتراضات'!$C$112=1,BC7&gt;='الافتراضات'!$C$121),INDEX($C26:$BM26,1,BC7-'الافتراضات'!$C$121+4)*'الافتراضات'!$D$121,0)</f>
        <v/>
      </c>
      <c r="BD39" s="45">
        <f>IF(AND('الافتراضات'!$C$112=1,BD7&gt;='الافتراضات'!$C$121),INDEX($C26:$BM26,1,BD7-'الافتراضات'!$C$121+4)*'الافتراضات'!$D$121,0)</f>
        <v/>
      </c>
      <c r="BE39" s="45">
        <f>IF(AND('الافتراضات'!$C$112=1,BE7&gt;='الافتراضات'!$C$121),INDEX($C26:$BM26,1,BE7-'الافتراضات'!$C$121+4)*'الافتراضات'!$D$121,0)</f>
        <v/>
      </c>
      <c r="BF39" s="45">
        <f>IF(AND('الافتراضات'!$C$112=1,BF7&gt;='الافتراضات'!$C$121),INDEX($C26:$BM26,1,BF7-'الافتراضات'!$C$121+4)*'الافتراضات'!$D$121,0)</f>
        <v/>
      </c>
      <c r="BG39" s="45">
        <f>IF(AND('الافتراضات'!$C$112=1,BG7&gt;='الافتراضات'!$C$121),INDEX($C26:$BM26,1,BG7-'الافتراضات'!$C$121+4)*'الافتراضات'!$D$121,0)</f>
        <v/>
      </c>
      <c r="BH39" s="45">
        <f>IF(AND('الافتراضات'!$C$112=1,BH7&gt;='الافتراضات'!$C$121),INDEX($C26:$BM26,1,BH7-'الافتراضات'!$C$121+4)*'الافتراضات'!$D$121,0)</f>
        <v/>
      </c>
      <c r="BI39" s="45">
        <f>IF(AND('الافتراضات'!$C$112=1,BI7&gt;='الافتراضات'!$C$121),INDEX($C26:$BM26,1,BI7-'الافتراضات'!$C$121+4)*'الافتراضات'!$D$121,0)</f>
        <v/>
      </c>
      <c r="BJ39" s="45">
        <f>IF(AND('الافتراضات'!$C$112=1,BJ7&gt;='الافتراضات'!$C$121),INDEX($C26:$BM26,1,BJ7-'الافتراضات'!$C$121+4)*'الافتراضات'!$D$121,0)</f>
        <v/>
      </c>
      <c r="BK39" s="45">
        <f>IF(AND('الافتراضات'!$C$112=1,BK7&gt;='الافتراضات'!$C$121),INDEX($C26:$BM26,1,BK7-'الافتراضات'!$C$121+4)*'الافتراضات'!$D$121,0)</f>
        <v/>
      </c>
      <c r="BL39" s="45">
        <f>IF(AND('الافتراضات'!$C$112=1,BL7&gt;='الافتراضات'!$C$121),INDEX($C26:$BM26,1,BL7-'الافتراضات'!$C$121+4)*'الافتراضات'!$D$121,0)</f>
        <v/>
      </c>
      <c r="BM39" s="45">
        <f>IF(AND('الافتراضات'!$C$112=1,BM7&gt;='الافتراضات'!$C$121),INDEX($C26:$BM26,1,BM7-'الافتراضات'!$C$121+4)*'الافتراضات'!$D$121,0)</f>
        <v/>
      </c>
    </row>
    <row r="40">
      <c r="A40" s="4" t="inlineStr">
        <is>
          <t>الطلبات — (خانة احتياطية)</t>
        </is>
      </c>
      <c r="B40" s="22" t="inlineStr">
        <is>
          <t>#</t>
        </is>
      </c>
      <c r="C40" s="45">
        <f>IF(AND('الافتراضات'!$C$112=1,C7&gt;='الافتراضات'!$C$122),INDEX($C26:$BM26,1,C7-'الافتراضات'!$C$122+4)*'الافتراضات'!$D$122,0)</f>
        <v/>
      </c>
      <c r="D40" s="45">
        <f>IF(AND('الافتراضات'!$C$112=1,D7&gt;='الافتراضات'!$C$122),INDEX($C26:$BM26,1,D7-'الافتراضات'!$C$122+4)*'الافتراضات'!$D$122,0)</f>
        <v/>
      </c>
      <c r="E40" s="45">
        <f>IF(AND('الافتراضات'!$C$112=1,E7&gt;='الافتراضات'!$C$122),INDEX($C26:$BM26,1,E7-'الافتراضات'!$C$122+4)*'الافتراضات'!$D$122,0)</f>
        <v/>
      </c>
      <c r="F40" s="45">
        <f>IF(AND('الافتراضات'!$C$112=1,F7&gt;='الافتراضات'!$C$122),INDEX($C26:$BM26,1,F7-'الافتراضات'!$C$122+4)*'الافتراضات'!$D$122,0)</f>
        <v/>
      </c>
      <c r="G40" s="45">
        <f>IF(AND('الافتراضات'!$C$112=1,G7&gt;='الافتراضات'!$C$122),INDEX($C26:$BM26,1,G7-'الافتراضات'!$C$122+4)*'الافتراضات'!$D$122,0)</f>
        <v/>
      </c>
      <c r="H40" s="45">
        <f>IF(AND('الافتراضات'!$C$112=1,H7&gt;='الافتراضات'!$C$122),INDEX($C26:$BM26,1,H7-'الافتراضات'!$C$122+4)*'الافتراضات'!$D$122,0)</f>
        <v/>
      </c>
      <c r="I40" s="45">
        <f>IF(AND('الافتراضات'!$C$112=1,I7&gt;='الافتراضات'!$C$122),INDEX($C26:$BM26,1,I7-'الافتراضات'!$C$122+4)*'الافتراضات'!$D$122,0)</f>
        <v/>
      </c>
      <c r="J40" s="45">
        <f>IF(AND('الافتراضات'!$C$112=1,J7&gt;='الافتراضات'!$C$122),INDEX($C26:$BM26,1,J7-'الافتراضات'!$C$122+4)*'الافتراضات'!$D$122,0)</f>
        <v/>
      </c>
      <c r="K40" s="45">
        <f>IF(AND('الافتراضات'!$C$112=1,K7&gt;='الافتراضات'!$C$122),INDEX($C26:$BM26,1,K7-'الافتراضات'!$C$122+4)*'الافتراضات'!$D$122,0)</f>
        <v/>
      </c>
      <c r="L40" s="45">
        <f>IF(AND('الافتراضات'!$C$112=1,L7&gt;='الافتراضات'!$C$122),INDEX($C26:$BM26,1,L7-'الافتراضات'!$C$122+4)*'الافتراضات'!$D$122,0)</f>
        <v/>
      </c>
      <c r="M40" s="45">
        <f>IF(AND('الافتراضات'!$C$112=1,M7&gt;='الافتراضات'!$C$122),INDEX($C26:$BM26,1,M7-'الافتراضات'!$C$122+4)*'الافتراضات'!$D$122,0)</f>
        <v/>
      </c>
      <c r="N40" s="45">
        <f>IF(AND('الافتراضات'!$C$112=1,N7&gt;='الافتراضات'!$C$122),INDEX($C26:$BM26,1,N7-'الافتراضات'!$C$122+4)*'الافتراضات'!$D$122,0)</f>
        <v/>
      </c>
      <c r="O40" s="45">
        <f>IF(AND('الافتراضات'!$C$112=1,O7&gt;='الافتراضات'!$C$122),INDEX($C26:$BM26,1,O7-'الافتراضات'!$C$122+4)*'الافتراضات'!$D$122,0)</f>
        <v/>
      </c>
      <c r="P40" s="45">
        <f>IF(AND('الافتراضات'!$C$112=1,P7&gt;='الافتراضات'!$C$122),INDEX($C26:$BM26,1,P7-'الافتراضات'!$C$122+4)*'الافتراضات'!$D$122,0)</f>
        <v/>
      </c>
      <c r="Q40" s="45">
        <f>IF(AND('الافتراضات'!$C$112=1,Q7&gt;='الافتراضات'!$C$122),INDEX($C26:$BM26,1,Q7-'الافتراضات'!$C$122+4)*'الافتراضات'!$D$122,0)</f>
        <v/>
      </c>
      <c r="R40" s="45">
        <f>IF(AND('الافتراضات'!$C$112=1,R7&gt;='الافتراضات'!$C$122),INDEX($C26:$BM26,1,R7-'الافتراضات'!$C$122+4)*'الافتراضات'!$D$122,0)</f>
        <v/>
      </c>
      <c r="S40" s="45">
        <f>IF(AND('الافتراضات'!$C$112=1,S7&gt;='الافتراضات'!$C$122),INDEX($C26:$BM26,1,S7-'الافتراضات'!$C$122+4)*'الافتراضات'!$D$122,0)</f>
        <v/>
      </c>
      <c r="T40" s="45">
        <f>IF(AND('الافتراضات'!$C$112=1,T7&gt;='الافتراضات'!$C$122),INDEX($C26:$BM26,1,T7-'الافتراضات'!$C$122+4)*'الافتراضات'!$D$122,0)</f>
        <v/>
      </c>
      <c r="U40" s="45">
        <f>IF(AND('الافتراضات'!$C$112=1,U7&gt;='الافتراضات'!$C$122),INDEX($C26:$BM26,1,U7-'الافتراضات'!$C$122+4)*'الافتراضات'!$D$122,0)</f>
        <v/>
      </c>
      <c r="V40" s="45">
        <f>IF(AND('الافتراضات'!$C$112=1,V7&gt;='الافتراضات'!$C$122),INDEX($C26:$BM26,1,V7-'الافتراضات'!$C$122+4)*'الافتراضات'!$D$122,0)</f>
        <v/>
      </c>
      <c r="W40" s="45">
        <f>IF(AND('الافتراضات'!$C$112=1,W7&gt;='الافتراضات'!$C$122),INDEX($C26:$BM26,1,W7-'الافتراضات'!$C$122+4)*'الافتراضات'!$D$122,0)</f>
        <v/>
      </c>
      <c r="X40" s="45">
        <f>IF(AND('الافتراضات'!$C$112=1,X7&gt;='الافتراضات'!$C$122),INDEX($C26:$BM26,1,X7-'الافتراضات'!$C$122+4)*'الافتراضات'!$D$122,0)</f>
        <v/>
      </c>
      <c r="Y40" s="45">
        <f>IF(AND('الافتراضات'!$C$112=1,Y7&gt;='الافتراضات'!$C$122),INDEX($C26:$BM26,1,Y7-'الافتراضات'!$C$122+4)*'الافتراضات'!$D$122,0)</f>
        <v/>
      </c>
      <c r="Z40" s="45">
        <f>IF(AND('الافتراضات'!$C$112=1,Z7&gt;='الافتراضات'!$C$122),INDEX($C26:$BM26,1,Z7-'الافتراضات'!$C$122+4)*'الافتراضات'!$D$122,0)</f>
        <v/>
      </c>
      <c r="AA40" s="45">
        <f>IF(AND('الافتراضات'!$C$112=1,AA7&gt;='الافتراضات'!$C$122),INDEX($C26:$BM26,1,AA7-'الافتراضات'!$C$122+4)*'الافتراضات'!$D$122,0)</f>
        <v/>
      </c>
      <c r="AB40" s="45">
        <f>IF(AND('الافتراضات'!$C$112=1,AB7&gt;='الافتراضات'!$C$122),INDEX($C26:$BM26,1,AB7-'الافتراضات'!$C$122+4)*'الافتراضات'!$D$122,0)</f>
        <v/>
      </c>
      <c r="AC40" s="45">
        <f>IF(AND('الافتراضات'!$C$112=1,AC7&gt;='الافتراضات'!$C$122),INDEX($C26:$BM26,1,AC7-'الافتراضات'!$C$122+4)*'الافتراضات'!$D$122,0)</f>
        <v/>
      </c>
      <c r="AD40" s="45">
        <f>IF(AND('الافتراضات'!$C$112=1,AD7&gt;='الافتراضات'!$C$122),INDEX($C26:$BM26,1,AD7-'الافتراضات'!$C$122+4)*'الافتراضات'!$D$122,0)</f>
        <v/>
      </c>
      <c r="AE40" s="45">
        <f>IF(AND('الافتراضات'!$C$112=1,AE7&gt;='الافتراضات'!$C$122),INDEX($C26:$BM26,1,AE7-'الافتراضات'!$C$122+4)*'الافتراضات'!$D$122,0)</f>
        <v/>
      </c>
      <c r="AF40" s="45">
        <f>IF(AND('الافتراضات'!$C$112=1,AF7&gt;='الافتراضات'!$C$122),INDEX($C26:$BM26,1,AF7-'الافتراضات'!$C$122+4)*'الافتراضات'!$D$122,0)</f>
        <v/>
      </c>
      <c r="AG40" s="45">
        <f>IF(AND('الافتراضات'!$C$112=1,AG7&gt;='الافتراضات'!$C$122),INDEX($C26:$BM26,1,AG7-'الافتراضات'!$C$122+4)*'الافتراضات'!$D$122,0)</f>
        <v/>
      </c>
      <c r="AH40" s="45">
        <f>IF(AND('الافتراضات'!$C$112=1,AH7&gt;='الافتراضات'!$C$122),INDEX($C26:$BM26,1,AH7-'الافتراضات'!$C$122+4)*'الافتراضات'!$D$122,0)</f>
        <v/>
      </c>
      <c r="AI40" s="45">
        <f>IF(AND('الافتراضات'!$C$112=1,AI7&gt;='الافتراضات'!$C$122),INDEX($C26:$BM26,1,AI7-'الافتراضات'!$C$122+4)*'الافتراضات'!$D$122,0)</f>
        <v/>
      </c>
      <c r="AJ40" s="45">
        <f>IF(AND('الافتراضات'!$C$112=1,AJ7&gt;='الافتراضات'!$C$122),INDEX($C26:$BM26,1,AJ7-'الافتراضات'!$C$122+4)*'الافتراضات'!$D$122,0)</f>
        <v/>
      </c>
      <c r="AK40" s="45">
        <f>IF(AND('الافتراضات'!$C$112=1,AK7&gt;='الافتراضات'!$C$122),INDEX($C26:$BM26,1,AK7-'الافتراضات'!$C$122+4)*'الافتراضات'!$D$122,0)</f>
        <v/>
      </c>
      <c r="AL40" s="45">
        <f>IF(AND('الافتراضات'!$C$112=1,AL7&gt;='الافتراضات'!$C$122),INDEX($C26:$BM26,1,AL7-'الافتراضات'!$C$122+4)*'الافتراضات'!$D$122,0)</f>
        <v/>
      </c>
      <c r="AM40" s="45">
        <f>IF(AND('الافتراضات'!$C$112=1,AM7&gt;='الافتراضات'!$C$122),INDEX($C26:$BM26,1,AM7-'الافتراضات'!$C$122+4)*'الافتراضات'!$D$122,0)</f>
        <v/>
      </c>
      <c r="AN40" s="45">
        <f>IF(AND('الافتراضات'!$C$112=1,AN7&gt;='الافتراضات'!$C$122),INDEX($C26:$BM26,1,AN7-'الافتراضات'!$C$122+4)*'الافتراضات'!$D$122,0)</f>
        <v/>
      </c>
      <c r="AO40" s="45">
        <f>IF(AND('الافتراضات'!$C$112=1,AO7&gt;='الافتراضات'!$C$122),INDEX($C26:$BM26,1,AO7-'الافتراضات'!$C$122+4)*'الافتراضات'!$D$122,0)</f>
        <v/>
      </c>
      <c r="AP40" s="45">
        <f>IF(AND('الافتراضات'!$C$112=1,AP7&gt;='الافتراضات'!$C$122),INDEX($C26:$BM26,1,AP7-'الافتراضات'!$C$122+4)*'الافتراضات'!$D$122,0)</f>
        <v/>
      </c>
      <c r="AQ40" s="45">
        <f>IF(AND('الافتراضات'!$C$112=1,AQ7&gt;='الافتراضات'!$C$122),INDEX($C26:$BM26,1,AQ7-'الافتراضات'!$C$122+4)*'الافتراضات'!$D$122,0)</f>
        <v/>
      </c>
      <c r="AR40" s="45">
        <f>IF(AND('الافتراضات'!$C$112=1,AR7&gt;='الافتراضات'!$C$122),INDEX($C26:$BM26,1,AR7-'الافتراضات'!$C$122+4)*'الافتراضات'!$D$122,0)</f>
        <v/>
      </c>
      <c r="AS40" s="45">
        <f>IF(AND('الافتراضات'!$C$112=1,AS7&gt;='الافتراضات'!$C$122),INDEX($C26:$BM26,1,AS7-'الافتراضات'!$C$122+4)*'الافتراضات'!$D$122,0)</f>
        <v/>
      </c>
      <c r="AT40" s="45">
        <f>IF(AND('الافتراضات'!$C$112=1,AT7&gt;='الافتراضات'!$C$122),INDEX($C26:$BM26,1,AT7-'الافتراضات'!$C$122+4)*'الافتراضات'!$D$122,0)</f>
        <v/>
      </c>
      <c r="AU40" s="45">
        <f>IF(AND('الافتراضات'!$C$112=1,AU7&gt;='الافتراضات'!$C$122),INDEX($C26:$BM26,1,AU7-'الافتراضات'!$C$122+4)*'الافتراضات'!$D$122,0)</f>
        <v/>
      </c>
      <c r="AV40" s="45">
        <f>IF(AND('الافتراضات'!$C$112=1,AV7&gt;='الافتراضات'!$C$122),INDEX($C26:$BM26,1,AV7-'الافتراضات'!$C$122+4)*'الافتراضات'!$D$122,0)</f>
        <v/>
      </c>
      <c r="AW40" s="45">
        <f>IF(AND('الافتراضات'!$C$112=1,AW7&gt;='الافتراضات'!$C$122),INDEX($C26:$BM26,1,AW7-'الافتراضات'!$C$122+4)*'الافتراضات'!$D$122,0)</f>
        <v/>
      </c>
      <c r="AX40" s="45">
        <f>IF(AND('الافتراضات'!$C$112=1,AX7&gt;='الافتراضات'!$C$122),INDEX($C26:$BM26,1,AX7-'الافتراضات'!$C$122+4)*'الافتراضات'!$D$122,0)</f>
        <v/>
      </c>
      <c r="AY40" s="45">
        <f>IF(AND('الافتراضات'!$C$112=1,AY7&gt;='الافتراضات'!$C$122),INDEX($C26:$BM26,1,AY7-'الافتراضات'!$C$122+4)*'الافتراضات'!$D$122,0)</f>
        <v/>
      </c>
      <c r="AZ40" s="45">
        <f>IF(AND('الافتراضات'!$C$112=1,AZ7&gt;='الافتراضات'!$C$122),INDEX($C26:$BM26,1,AZ7-'الافتراضات'!$C$122+4)*'الافتراضات'!$D$122,0)</f>
        <v/>
      </c>
      <c r="BA40" s="45">
        <f>IF(AND('الافتراضات'!$C$112=1,BA7&gt;='الافتراضات'!$C$122),INDEX($C26:$BM26,1,BA7-'الافتراضات'!$C$122+4)*'الافتراضات'!$D$122,0)</f>
        <v/>
      </c>
      <c r="BB40" s="45">
        <f>IF(AND('الافتراضات'!$C$112=1,BB7&gt;='الافتراضات'!$C$122),INDEX($C26:$BM26,1,BB7-'الافتراضات'!$C$122+4)*'الافتراضات'!$D$122,0)</f>
        <v/>
      </c>
      <c r="BC40" s="45">
        <f>IF(AND('الافتراضات'!$C$112=1,BC7&gt;='الافتراضات'!$C$122),INDEX($C26:$BM26,1,BC7-'الافتراضات'!$C$122+4)*'الافتراضات'!$D$122,0)</f>
        <v/>
      </c>
      <c r="BD40" s="45">
        <f>IF(AND('الافتراضات'!$C$112=1,BD7&gt;='الافتراضات'!$C$122),INDEX($C26:$BM26,1,BD7-'الافتراضات'!$C$122+4)*'الافتراضات'!$D$122,0)</f>
        <v/>
      </c>
      <c r="BE40" s="45">
        <f>IF(AND('الافتراضات'!$C$112=1,BE7&gt;='الافتراضات'!$C$122),INDEX($C26:$BM26,1,BE7-'الافتراضات'!$C$122+4)*'الافتراضات'!$D$122,0)</f>
        <v/>
      </c>
      <c r="BF40" s="45">
        <f>IF(AND('الافتراضات'!$C$112=1,BF7&gt;='الافتراضات'!$C$122),INDEX($C26:$BM26,1,BF7-'الافتراضات'!$C$122+4)*'الافتراضات'!$D$122,0)</f>
        <v/>
      </c>
      <c r="BG40" s="45">
        <f>IF(AND('الافتراضات'!$C$112=1,BG7&gt;='الافتراضات'!$C$122),INDEX($C26:$BM26,1,BG7-'الافتراضات'!$C$122+4)*'الافتراضات'!$D$122,0)</f>
        <v/>
      </c>
      <c r="BH40" s="45">
        <f>IF(AND('الافتراضات'!$C$112=1,BH7&gt;='الافتراضات'!$C$122),INDEX($C26:$BM26,1,BH7-'الافتراضات'!$C$122+4)*'الافتراضات'!$D$122,0)</f>
        <v/>
      </c>
      <c r="BI40" s="45">
        <f>IF(AND('الافتراضات'!$C$112=1,BI7&gt;='الافتراضات'!$C$122),INDEX($C26:$BM26,1,BI7-'الافتراضات'!$C$122+4)*'الافتراضات'!$D$122,0)</f>
        <v/>
      </c>
      <c r="BJ40" s="45">
        <f>IF(AND('الافتراضات'!$C$112=1,BJ7&gt;='الافتراضات'!$C$122),INDEX($C26:$BM26,1,BJ7-'الافتراضات'!$C$122+4)*'الافتراضات'!$D$122,0)</f>
        <v/>
      </c>
      <c r="BK40" s="45">
        <f>IF(AND('الافتراضات'!$C$112=1,BK7&gt;='الافتراضات'!$C$122),INDEX($C26:$BM26,1,BK7-'الافتراضات'!$C$122+4)*'الافتراضات'!$D$122,0)</f>
        <v/>
      </c>
      <c r="BL40" s="45">
        <f>IF(AND('الافتراضات'!$C$112=1,BL7&gt;='الافتراضات'!$C$122),INDEX($C26:$BM26,1,BL7-'الافتراضات'!$C$122+4)*'الافتراضات'!$D$122,0)</f>
        <v/>
      </c>
      <c r="BM40" s="45">
        <f>IF(AND('الافتراضات'!$C$112=1,BM7&gt;='الافتراضات'!$C$122),INDEX($C26:$BM26,1,BM7-'الافتراضات'!$C$122+4)*'الافتراضات'!$D$122,0)</f>
        <v/>
      </c>
    </row>
    <row r="41">
      <c r="A41" s="4" t="inlineStr">
        <is>
          <t>إنفاق الاستحواذ — حوش عيسى</t>
        </is>
      </c>
      <c r="B41" s="22" t="inlineStr">
        <is>
          <t>ج.م</t>
        </is>
      </c>
      <c r="C41" s="45">
        <f>IF(AND('الافتراضات'!$C$112=1,C7&gt;='الافتراضات'!$C$117),INDEX($C13:$BM13,1,C7-'الافتراضات'!$C$117+4)*'الافتراضات'!$D$117,0)</f>
        <v/>
      </c>
      <c r="D41" s="45">
        <f>IF(AND('الافتراضات'!$C$112=1,D7&gt;='الافتراضات'!$C$117),INDEX($C13:$BM13,1,D7-'الافتراضات'!$C$117+4)*'الافتراضات'!$D$117,0)</f>
        <v/>
      </c>
      <c r="E41" s="45">
        <f>IF(AND('الافتراضات'!$C$112=1,E7&gt;='الافتراضات'!$C$117),INDEX($C13:$BM13,1,E7-'الافتراضات'!$C$117+4)*'الافتراضات'!$D$117,0)</f>
        <v/>
      </c>
      <c r="F41" s="45">
        <f>IF(AND('الافتراضات'!$C$112=1,F7&gt;='الافتراضات'!$C$117),INDEX($C13:$BM13,1,F7-'الافتراضات'!$C$117+4)*'الافتراضات'!$D$117,0)</f>
        <v/>
      </c>
      <c r="G41" s="45">
        <f>IF(AND('الافتراضات'!$C$112=1,G7&gt;='الافتراضات'!$C$117),INDEX($C13:$BM13,1,G7-'الافتراضات'!$C$117+4)*'الافتراضات'!$D$117,0)</f>
        <v/>
      </c>
      <c r="H41" s="45">
        <f>IF(AND('الافتراضات'!$C$112=1,H7&gt;='الافتراضات'!$C$117),INDEX($C13:$BM13,1,H7-'الافتراضات'!$C$117+4)*'الافتراضات'!$D$117,0)</f>
        <v/>
      </c>
      <c r="I41" s="45">
        <f>IF(AND('الافتراضات'!$C$112=1,I7&gt;='الافتراضات'!$C$117),INDEX($C13:$BM13,1,I7-'الافتراضات'!$C$117+4)*'الافتراضات'!$D$117,0)</f>
        <v/>
      </c>
      <c r="J41" s="45">
        <f>IF(AND('الافتراضات'!$C$112=1,J7&gt;='الافتراضات'!$C$117),INDEX($C13:$BM13,1,J7-'الافتراضات'!$C$117+4)*'الافتراضات'!$D$117,0)</f>
        <v/>
      </c>
      <c r="K41" s="45">
        <f>IF(AND('الافتراضات'!$C$112=1,K7&gt;='الافتراضات'!$C$117),INDEX($C13:$BM13,1,K7-'الافتراضات'!$C$117+4)*'الافتراضات'!$D$117,0)</f>
        <v/>
      </c>
      <c r="L41" s="45">
        <f>IF(AND('الافتراضات'!$C$112=1,L7&gt;='الافتراضات'!$C$117),INDEX($C13:$BM13,1,L7-'الافتراضات'!$C$117+4)*'الافتراضات'!$D$117,0)</f>
        <v/>
      </c>
      <c r="M41" s="45">
        <f>IF(AND('الافتراضات'!$C$112=1,M7&gt;='الافتراضات'!$C$117),INDEX($C13:$BM13,1,M7-'الافتراضات'!$C$117+4)*'الافتراضات'!$D$117,0)</f>
        <v/>
      </c>
      <c r="N41" s="45">
        <f>IF(AND('الافتراضات'!$C$112=1,N7&gt;='الافتراضات'!$C$117),INDEX($C13:$BM13,1,N7-'الافتراضات'!$C$117+4)*'الافتراضات'!$D$117,0)</f>
        <v/>
      </c>
      <c r="O41" s="45">
        <f>IF(AND('الافتراضات'!$C$112=1,O7&gt;='الافتراضات'!$C$117),INDEX($C13:$BM13,1,O7-'الافتراضات'!$C$117+4)*'الافتراضات'!$D$117,0)</f>
        <v/>
      </c>
      <c r="P41" s="45">
        <f>IF(AND('الافتراضات'!$C$112=1,P7&gt;='الافتراضات'!$C$117),INDEX($C13:$BM13,1,P7-'الافتراضات'!$C$117+4)*'الافتراضات'!$D$117,0)</f>
        <v/>
      </c>
      <c r="Q41" s="45">
        <f>IF(AND('الافتراضات'!$C$112=1,Q7&gt;='الافتراضات'!$C$117),INDEX($C13:$BM13,1,Q7-'الافتراضات'!$C$117+4)*'الافتراضات'!$D$117,0)</f>
        <v/>
      </c>
      <c r="R41" s="45">
        <f>IF(AND('الافتراضات'!$C$112=1,R7&gt;='الافتراضات'!$C$117),INDEX($C13:$BM13,1,R7-'الافتراضات'!$C$117+4)*'الافتراضات'!$D$117,0)</f>
        <v/>
      </c>
      <c r="S41" s="45">
        <f>IF(AND('الافتراضات'!$C$112=1,S7&gt;='الافتراضات'!$C$117),INDEX($C13:$BM13,1,S7-'الافتراضات'!$C$117+4)*'الافتراضات'!$D$117,0)</f>
        <v/>
      </c>
      <c r="T41" s="45">
        <f>IF(AND('الافتراضات'!$C$112=1,T7&gt;='الافتراضات'!$C$117),INDEX($C13:$BM13,1,T7-'الافتراضات'!$C$117+4)*'الافتراضات'!$D$117,0)</f>
        <v/>
      </c>
      <c r="U41" s="45">
        <f>IF(AND('الافتراضات'!$C$112=1,U7&gt;='الافتراضات'!$C$117),INDEX($C13:$BM13,1,U7-'الافتراضات'!$C$117+4)*'الافتراضات'!$D$117,0)</f>
        <v/>
      </c>
      <c r="V41" s="45">
        <f>IF(AND('الافتراضات'!$C$112=1,V7&gt;='الافتراضات'!$C$117),INDEX($C13:$BM13,1,V7-'الافتراضات'!$C$117+4)*'الافتراضات'!$D$117,0)</f>
        <v/>
      </c>
      <c r="W41" s="45">
        <f>IF(AND('الافتراضات'!$C$112=1,W7&gt;='الافتراضات'!$C$117),INDEX($C13:$BM13,1,W7-'الافتراضات'!$C$117+4)*'الافتراضات'!$D$117,0)</f>
        <v/>
      </c>
      <c r="X41" s="45">
        <f>IF(AND('الافتراضات'!$C$112=1,X7&gt;='الافتراضات'!$C$117),INDEX($C13:$BM13,1,X7-'الافتراضات'!$C$117+4)*'الافتراضات'!$D$117,0)</f>
        <v/>
      </c>
      <c r="Y41" s="45">
        <f>IF(AND('الافتراضات'!$C$112=1,Y7&gt;='الافتراضات'!$C$117),INDEX($C13:$BM13,1,Y7-'الافتراضات'!$C$117+4)*'الافتراضات'!$D$117,0)</f>
        <v/>
      </c>
      <c r="Z41" s="45">
        <f>IF(AND('الافتراضات'!$C$112=1,Z7&gt;='الافتراضات'!$C$117),INDEX($C13:$BM13,1,Z7-'الافتراضات'!$C$117+4)*'الافتراضات'!$D$117,0)</f>
        <v/>
      </c>
      <c r="AA41" s="45">
        <f>IF(AND('الافتراضات'!$C$112=1,AA7&gt;='الافتراضات'!$C$117),INDEX($C13:$BM13,1,AA7-'الافتراضات'!$C$117+4)*'الافتراضات'!$D$117,0)</f>
        <v/>
      </c>
      <c r="AB41" s="45">
        <f>IF(AND('الافتراضات'!$C$112=1,AB7&gt;='الافتراضات'!$C$117),INDEX($C13:$BM13,1,AB7-'الافتراضات'!$C$117+4)*'الافتراضات'!$D$117,0)</f>
        <v/>
      </c>
      <c r="AC41" s="45">
        <f>IF(AND('الافتراضات'!$C$112=1,AC7&gt;='الافتراضات'!$C$117),INDEX($C13:$BM13,1,AC7-'الافتراضات'!$C$117+4)*'الافتراضات'!$D$117,0)</f>
        <v/>
      </c>
      <c r="AD41" s="45">
        <f>IF(AND('الافتراضات'!$C$112=1,AD7&gt;='الافتراضات'!$C$117),INDEX($C13:$BM13,1,AD7-'الافتراضات'!$C$117+4)*'الافتراضات'!$D$117,0)</f>
        <v/>
      </c>
      <c r="AE41" s="45">
        <f>IF(AND('الافتراضات'!$C$112=1,AE7&gt;='الافتراضات'!$C$117),INDEX($C13:$BM13,1,AE7-'الافتراضات'!$C$117+4)*'الافتراضات'!$D$117,0)</f>
        <v/>
      </c>
      <c r="AF41" s="45">
        <f>IF(AND('الافتراضات'!$C$112=1,AF7&gt;='الافتراضات'!$C$117),INDEX($C13:$BM13,1,AF7-'الافتراضات'!$C$117+4)*'الافتراضات'!$D$117,0)</f>
        <v/>
      </c>
      <c r="AG41" s="45">
        <f>IF(AND('الافتراضات'!$C$112=1,AG7&gt;='الافتراضات'!$C$117),INDEX($C13:$BM13,1,AG7-'الافتراضات'!$C$117+4)*'الافتراضات'!$D$117,0)</f>
        <v/>
      </c>
      <c r="AH41" s="45">
        <f>IF(AND('الافتراضات'!$C$112=1,AH7&gt;='الافتراضات'!$C$117),INDEX($C13:$BM13,1,AH7-'الافتراضات'!$C$117+4)*'الافتراضات'!$D$117,0)</f>
        <v/>
      </c>
      <c r="AI41" s="45">
        <f>IF(AND('الافتراضات'!$C$112=1,AI7&gt;='الافتراضات'!$C$117),INDEX($C13:$BM13,1,AI7-'الافتراضات'!$C$117+4)*'الافتراضات'!$D$117,0)</f>
        <v/>
      </c>
      <c r="AJ41" s="45">
        <f>IF(AND('الافتراضات'!$C$112=1,AJ7&gt;='الافتراضات'!$C$117),INDEX($C13:$BM13,1,AJ7-'الافتراضات'!$C$117+4)*'الافتراضات'!$D$117,0)</f>
        <v/>
      </c>
      <c r="AK41" s="45">
        <f>IF(AND('الافتراضات'!$C$112=1,AK7&gt;='الافتراضات'!$C$117),INDEX($C13:$BM13,1,AK7-'الافتراضات'!$C$117+4)*'الافتراضات'!$D$117,0)</f>
        <v/>
      </c>
      <c r="AL41" s="45">
        <f>IF(AND('الافتراضات'!$C$112=1,AL7&gt;='الافتراضات'!$C$117),INDEX($C13:$BM13,1,AL7-'الافتراضات'!$C$117+4)*'الافتراضات'!$D$117,0)</f>
        <v/>
      </c>
      <c r="AM41" s="45">
        <f>IF(AND('الافتراضات'!$C$112=1,AM7&gt;='الافتراضات'!$C$117),INDEX($C13:$BM13,1,AM7-'الافتراضات'!$C$117+4)*'الافتراضات'!$D$117,0)</f>
        <v/>
      </c>
      <c r="AN41" s="45">
        <f>IF(AND('الافتراضات'!$C$112=1,AN7&gt;='الافتراضات'!$C$117),INDEX($C13:$BM13,1,AN7-'الافتراضات'!$C$117+4)*'الافتراضات'!$D$117,0)</f>
        <v/>
      </c>
      <c r="AO41" s="45">
        <f>IF(AND('الافتراضات'!$C$112=1,AO7&gt;='الافتراضات'!$C$117),INDEX($C13:$BM13,1,AO7-'الافتراضات'!$C$117+4)*'الافتراضات'!$D$117,0)</f>
        <v/>
      </c>
      <c r="AP41" s="45">
        <f>IF(AND('الافتراضات'!$C$112=1,AP7&gt;='الافتراضات'!$C$117),INDEX($C13:$BM13,1,AP7-'الافتراضات'!$C$117+4)*'الافتراضات'!$D$117,0)</f>
        <v/>
      </c>
      <c r="AQ41" s="45">
        <f>IF(AND('الافتراضات'!$C$112=1,AQ7&gt;='الافتراضات'!$C$117),INDEX($C13:$BM13,1,AQ7-'الافتراضات'!$C$117+4)*'الافتراضات'!$D$117,0)</f>
        <v/>
      </c>
      <c r="AR41" s="45">
        <f>IF(AND('الافتراضات'!$C$112=1,AR7&gt;='الافتراضات'!$C$117),INDEX($C13:$BM13,1,AR7-'الافتراضات'!$C$117+4)*'الافتراضات'!$D$117,0)</f>
        <v/>
      </c>
      <c r="AS41" s="45">
        <f>IF(AND('الافتراضات'!$C$112=1,AS7&gt;='الافتراضات'!$C$117),INDEX($C13:$BM13,1,AS7-'الافتراضات'!$C$117+4)*'الافتراضات'!$D$117,0)</f>
        <v/>
      </c>
      <c r="AT41" s="45">
        <f>IF(AND('الافتراضات'!$C$112=1,AT7&gt;='الافتراضات'!$C$117),INDEX($C13:$BM13,1,AT7-'الافتراضات'!$C$117+4)*'الافتراضات'!$D$117,0)</f>
        <v/>
      </c>
      <c r="AU41" s="45">
        <f>IF(AND('الافتراضات'!$C$112=1,AU7&gt;='الافتراضات'!$C$117),INDEX($C13:$BM13,1,AU7-'الافتراضات'!$C$117+4)*'الافتراضات'!$D$117,0)</f>
        <v/>
      </c>
      <c r="AV41" s="45">
        <f>IF(AND('الافتراضات'!$C$112=1,AV7&gt;='الافتراضات'!$C$117),INDEX($C13:$BM13,1,AV7-'الافتراضات'!$C$117+4)*'الافتراضات'!$D$117,0)</f>
        <v/>
      </c>
      <c r="AW41" s="45">
        <f>IF(AND('الافتراضات'!$C$112=1,AW7&gt;='الافتراضات'!$C$117),INDEX($C13:$BM13,1,AW7-'الافتراضات'!$C$117+4)*'الافتراضات'!$D$117,0)</f>
        <v/>
      </c>
      <c r="AX41" s="45">
        <f>IF(AND('الافتراضات'!$C$112=1,AX7&gt;='الافتراضات'!$C$117),INDEX($C13:$BM13,1,AX7-'الافتراضات'!$C$117+4)*'الافتراضات'!$D$117,0)</f>
        <v/>
      </c>
      <c r="AY41" s="45">
        <f>IF(AND('الافتراضات'!$C$112=1,AY7&gt;='الافتراضات'!$C$117),INDEX($C13:$BM13,1,AY7-'الافتراضات'!$C$117+4)*'الافتراضات'!$D$117,0)</f>
        <v/>
      </c>
      <c r="AZ41" s="45">
        <f>IF(AND('الافتراضات'!$C$112=1,AZ7&gt;='الافتراضات'!$C$117),INDEX($C13:$BM13,1,AZ7-'الافتراضات'!$C$117+4)*'الافتراضات'!$D$117,0)</f>
        <v/>
      </c>
      <c r="BA41" s="45">
        <f>IF(AND('الافتراضات'!$C$112=1,BA7&gt;='الافتراضات'!$C$117),INDEX($C13:$BM13,1,BA7-'الافتراضات'!$C$117+4)*'الافتراضات'!$D$117,0)</f>
        <v/>
      </c>
      <c r="BB41" s="45">
        <f>IF(AND('الافتراضات'!$C$112=1,BB7&gt;='الافتراضات'!$C$117),INDEX($C13:$BM13,1,BB7-'الافتراضات'!$C$117+4)*'الافتراضات'!$D$117,0)</f>
        <v/>
      </c>
      <c r="BC41" s="45">
        <f>IF(AND('الافتراضات'!$C$112=1,BC7&gt;='الافتراضات'!$C$117),INDEX($C13:$BM13,1,BC7-'الافتراضات'!$C$117+4)*'الافتراضات'!$D$117,0)</f>
        <v/>
      </c>
      <c r="BD41" s="45">
        <f>IF(AND('الافتراضات'!$C$112=1,BD7&gt;='الافتراضات'!$C$117),INDEX($C13:$BM13,1,BD7-'الافتراضات'!$C$117+4)*'الافتراضات'!$D$117,0)</f>
        <v/>
      </c>
      <c r="BE41" s="45">
        <f>IF(AND('الافتراضات'!$C$112=1,BE7&gt;='الافتراضات'!$C$117),INDEX($C13:$BM13,1,BE7-'الافتراضات'!$C$117+4)*'الافتراضات'!$D$117,0)</f>
        <v/>
      </c>
      <c r="BF41" s="45">
        <f>IF(AND('الافتراضات'!$C$112=1,BF7&gt;='الافتراضات'!$C$117),INDEX($C13:$BM13,1,BF7-'الافتراضات'!$C$117+4)*'الافتراضات'!$D$117,0)</f>
        <v/>
      </c>
      <c r="BG41" s="45">
        <f>IF(AND('الافتراضات'!$C$112=1,BG7&gt;='الافتراضات'!$C$117),INDEX($C13:$BM13,1,BG7-'الافتراضات'!$C$117+4)*'الافتراضات'!$D$117,0)</f>
        <v/>
      </c>
      <c r="BH41" s="45">
        <f>IF(AND('الافتراضات'!$C$112=1,BH7&gt;='الافتراضات'!$C$117),INDEX($C13:$BM13,1,BH7-'الافتراضات'!$C$117+4)*'الافتراضات'!$D$117,0)</f>
        <v/>
      </c>
      <c r="BI41" s="45">
        <f>IF(AND('الافتراضات'!$C$112=1,BI7&gt;='الافتراضات'!$C$117),INDEX($C13:$BM13,1,BI7-'الافتراضات'!$C$117+4)*'الافتراضات'!$D$117,0)</f>
        <v/>
      </c>
      <c r="BJ41" s="45">
        <f>IF(AND('الافتراضات'!$C$112=1,BJ7&gt;='الافتراضات'!$C$117),INDEX($C13:$BM13,1,BJ7-'الافتراضات'!$C$117+4)*'الافتراضات'!$D$117,0)</f>
        <v/>
      </c>
      <c r="BK41" s="45">
        <f>IF(AND('الافتراضات'!$C$112=1,BK7&gt;='الافتراضات'!$C$117),INDEX($C13:$BM13,1,BK7-'الافتراضات'!$C$117+4)*'الافتراضات'!$D$117,0)</f>
        <v/>
      </c>
      <c r="BL41" s="45">
        <f>IF(AND('الافتراضات'!$C$112=1,BL7&gt;='الافتراضات'!$C$117),INDEX($C13:$BM13,1,BL7-'الافتراضات'!$C$117+4)*'الافتراضات'!$D$117,0)</f>
        <v/>
      </c>
      <c r="BM41" s="45">
        <f>IF(AND('الافتراضات'!$C$112=1,BM7&gt;='الافتراضات'!$C$117),INDEX($C13:$BM13,1,BM7-'الافتراضات'!$C$117+4)*'الافتراضات'!$D$117,0)</f>
        <v/>
      </c>
    </row>
    <row r="42">
      <c r="A42" s="4" t="inlineStr">
        <is>
          <t>إنفاق الاستحواذ — أبو حمص</t>
        </is>
      </c>
      <c r="B42" s="22" t="inlineStr">
        <is>
          <t>ج.م</t>
        </is>
      </c>
      <c r="C42" s="45">
        <f>IF(AND('الافتراضات'!$C$112=1,C7&gt;='الافتراضات'!$C$118),INDEX($C13:$BM13,1,C7-'الافتراضات'!$C$118+4)*'الافتراضات'!$D$118,0)</f>
        <v/>
      </c>
      <c r="D42" s="45">
        <f>IF(AND('الافتراضات'!$C$112=1,D7&gt;='الافتراضات'!$C$118),INDEX($C13:$BM13,1,D7-'الافتراضات'!$C$118+4)*'الافتراضات'!$D$118,0)</f>
        <v/>
      </c>
      <c r="E42" s="45">
        <f>IF(AND('الافتراضات'!$C$112=1,E7&gt;='الافتراضات'!$C$118),INDEX($C13:$BM13,1,E7-'الافتراضات'!$C$118+4)*'الافتراضات'!$D$118,0)</f>
        <v/>
      </c>
      <c r="F42" s="45">
        <f>IF(AND('الافتراضات'!$C$112=1,F7&gt;='الافتراضات'!$C$118),INDEX($C13:$BM13,1,F7-'الافتراضات'!$C$118+4)*'الافتراضات'!$D$118,0)</f>
        <v/>
      </c>
      <c r="G42" s="45">
        <f>IF(AND('الافتراضات'!$C$112=1,G7&gt;='الافتراضات'!$C$118),INDEX($C13:$BM13,1,G7-'الافتراضات'!$C$118+4)*'الافتراضات'!$D$118,0)</f>
        <v/>
      </c>
      <c r="H42" s="45">
        <f>IF(AND('الافتراضات'!$C$112=1,H7&gt;='الافتراضات'!$C$118),INDEX($C13:$BM13,1,H7-'الافتراضات'!$C$118+4)*'الافتراضات'!$D$118,0)</f>
        <v/>
      </c>
      <c r="I42" s="45">
        <f>IF(AND('الافتراضات'!$C$112=1,I7&gt;='الافتراضات'!$C$118),INDEX($C13:$BM13,1,I7-'الافتراضات'!$C$118+4)*'الافتراضات'!$D$118,0)</f>
        <v/>
      </c>
      <c r="J42" s="45">
        <f>IF(AND('الافتراضات'!$C$112=1,J7&gt;='الافتراضات'!$C$118),INDEX($C13:$BM13,1,J7-'الافتراضات'!$C$118+4)*'الافتراضات'!$D$118,0)</f>
        <v/>
      </c>
      <c r="K42" s="45">
        <f>IF(AND('الافتراضات'!$C$112=1,K7&gt;='الافتراضات'!$C$118),INDEX($C13:$BM13,1,K7-'الافتراضات'!$C$118+4)*'الافتراضات'!$D$118,0)</f>
        <v/>
      </c>
      <c r="L42" s="45">
        <f>IF(AND('الافتراضات'!$C$112=1,L7&gt;='الافتراضات'!$C$118),INDEX($C13:$BM13,1,L7-'الافتراضات'!$C$118+4)*'الافتراضات'!$D$118,0)</f>
        <v/>
      </c>
      <c r="M42" s="45">
        <f>IF(AND('الافتراضات'!$C$112=1,M7&gt;='الافتراضات'!$C$118),INDEX($C13:$BM13,1,M7-'الافتراضات'!$C$118+4)*'الافتراضات'!$D$118,0)</f>
        <v/>
      </c>
      <c r="N42" s="45">
        <f>IF(AND('الافتراضات'!$C$112=1,N7&gt;='الافتراضات'!$C$118),INDEX($C13:$BM13,1,N7-'الافتراضات'!$C$118+4)*'الافتراضات'!$D$118,0)</f>
        <v/>
      </c>
      <c r="O42" s="45">
        <f>IF(AND('الافتراضات'!$C$112=1,O7&gt;='الافتراضات'!$C$118),INDEX($C13:$BM13,1,O7-'الافتراضات'!$C$118+4)*'الافتراضات'!$D$118,0)</f>
        <v/>
      </c>
      <c r="P42" s="45">
        <f>IF(AND('الافتراضات'!$C$112=1,P7&gt;='الافتراضات'!$C$118),INDEX($C13:$BM13,1,P7-'الافتراضات'!$C$118+4)*'الافتراضات'!$D$118,0)</f>
        <v/>
      </c>
      <c r="Q42" s="45">
        <f>IF(AND('الافتراضات'!$C$112=1,Q7&gt;='الافتراضات'!$C$118),INDEX($C13:$BM13,1,Q7-'الافتراضات'!$C$118+4)*'الافتراضات'!$D$118,0)</f>
        <v/>
      </c>
      <c r="R42" s="45">
        <f>IF(AND('الافتراضات'!$C$112=1,R7&gt;='الافتراضات'!$C$118),INDEX($C13:$BM13,1,R7-'الافتراضات'!$C$118+4)*'الافتراضات'!$D$118,0)</f>
        <v/>
      </c>
      <c r="S42" s="45">
        <f>IF(AND('الافتراضات'!$C$112=1,S7&gt;='الافتراضات'!$C$118),INDEX($C13:$BM13,1,S7-'الافتراضات'!$C$118+4)*'الافتراضات'!$D$118,0)</f>
        <v/>
      </c>
      <c r="T42" s="45">
        <f>IF(AND('الافتراضات'!$C$112=1,T7&gt;='الافتراضات'!$C$118),INDEX($C13:$BM13,1,T7-'الافتراضات'!$C$118+4)*'الافتراضات'!$D$118,0)</f>
        <v/>
      </c>
      <c r="U42" s="45">
        <f>IF(AND('الافتراضات'!$C$112=1,U7&gt;='الافتراضات'!$C$118),INDEX($C13:$BM13,1,U7-'الافتراضات'!$C$118+4)*'الافتراضات'!$D$118,0)</f>
        <v/>
      </c>
      <c r="V42" s="45">
        <f>IF(AND('الافتراضات'!$C$112=1,V7&gt;='الافتراضات'!$C$118),INDEX($C13:$BM13,1,V7-'الافتراضات'!$C$118+4)*'الافتراضات'!$D$118,0)</f>
        <v/>
      </c>
      <c r="W42" s="45">
        <f>IF(AND('الافتراضات'!$C$112=1,W7&gt;='الافتراضات'!$C$118),INDEX($C13:$BM13,1,W7-'الافتراضات'!$C$118+4)*'الافتراضات'!$D$118,0)</f>
        <v/>
      </c>
      <c r="X42" s="45">
        <f>IF(AND('الافتراضات'!$C$112=1,X7&gt;='الافتراضات'!$C$118),INDEX($C13:$BM13,1,X7-'الافتراضات'!$C$118+4)*'الافتراضات'!$D$118,0)</f>
        <v/>
      </c>
      <c r="Y42" s="45">
        <f>IF(AND('الافتراضات'!$C$112=1,Y7&gt;='الافتراضات'!$C$118),INDEX($C13:$BM13,1,Y7-'الافتراضات'!$C$118+4)*'الافتراضات'!$D$118,0)</f>
        <v/>
      </c>
      <c r="Z42" s="45">
        <f>IF(AND('الافتراضات'!$C$112=1,Z7&gt;='الافتراضات'!$C$118),INDEX($C13:$BM13,1,Z7-'الافتراضات'!$C$118+4)*'الافتراضات'!$D$118,0)</f>
        <v/>
      </c>
      <c r="AA42" s="45">
        <f>IF(AND('الافتراضات'!$C$112=1,AA7&gt;='الافتراضات'!$C$118),INDEX($C13:$BM13,1,AA7-'الافتراضات'!$C$118+4)*'الافتراضات'!$D$118,0)</f>
        <v/>
      </c>
      <c r="AB42" s="45">
        <f>IF(AND('الافتراضات'!$C$112=1,AB7&gt;='الافتراضات'!$C$118),INDEX($C13:$BM13,1,AB7-'الافتراضات'!$C$118+4)*'الافتراضات'!$D$118,0)</f>
        <v/>
      </c>
      <c r="AC42" s="45">
        <f>IF(AND('الافتراضات'!$C$112=1,AC7&gt;='الافتراضات'!$C$118),INDEX($C13:$BM13,1,AC7-'الافتراضات'!$C$118+4)*'الافتراضات'!$D$118,0)</f>
        <v/>
      </c>
      <c r="AD42" s="45">
        <f>IF(AND('الافتراضات'!$C$112=1,AD7&gt;='الافتراضات'!$C$118),INDEX($C13:$BM13,1,AD7-'الافتراضات'!$C$118+4)*'الافتراضات'!$D$118,0)</f>
        <v/>
      </c>
      <c r="AE42" s="45">
        <f>IF(AND('الافتراضات'!$C$112=1,AE7&gt;='الافتراضات'!$C$118),INDEX($C13:$BM13,1,AE7-'الافتراضات'!$C$118+4)*'الافتراضات'!$D$118,0)</f>
        <v/>
      </c>
      <c r="AF42" s="45">
        <f>IF(AND('الافتراضات'!$C$112=1,AF7&gt;='الافتراضات'!$C$118),INDEX($C13:$BM13,1,AF7-'الافتراضات'!$C$118+4)*'الافتراضات'!$D$118,0)</f>
        <v/>
      </c>
      <c r="AG42" s="45">
        <f>IF(AND('الافتراضات'!$C$112=1,AG7&gt;='الافتراضات'!$C$118),INDEX($C13:$BM13,1,AG7-'الافتراضات'!$C$118+4)*'الافتراضات'!$D$118,0)</f>
        <v/>
      </c>
      <c r="AH42" s="45">
        <f>IF(AND('الافتراضات'!$C$112=1,AH7&gt;='الافتراضات'!$C$118),INDEX($C13:$BM13,1,AH7-'الافتراضات'!$C$118+4)*'الافتراضات'!$D$118,0)</f>
        <v/>
      </c>
      <c r="AI42" s="45">
        <f>IF(AND('الافتراضات'!$C$112=1,AI7&gt;='الافتراضات'!$C$118),INDEX($C13:$BM13,1,AI7-'الافتراضات'!$C$118+4)*'الافتراضات'!$D$118,0)</f>
        <v/>
      </c>
      <c r="AJ42" s="45">
        <f>IF(AND('الافتراضات'!$C$112=1,AJ7&gt;='الافتراضات'!$C$118),INDEX($C13:$BM13,1,AJ7-'الافتراضات'!$C$118+4)*'الافتراضات'!$D$118,0)</f>
        <v/>
      </c>
      <c r="AK42" s="45">
        <f>IF(AND('الافتراضات'!$C$112=1,AK7&gt;='الافتراضات'!$C$118),INDEX($C13:$BM13,1,AK7-'الافتراضات'!$C$118+4)*'الافتراضات'!$D$118,0)</f>
        <v/>
      </c>
      <c r="AL42" s="45">
        <f>IF(AND('الافتراضات'!$C$112=1,AL7&gt;='الافتراضات'!$C$118),INDEX($C13:$BM13,1,AL7-'الافتراضات'!$C$118+4)*'الافتراضات'!$D$118,0)</f>
        <v/>
      </c>
      <c r="AM42" s="45">
        <f>IF(AND('الافتراضات'!$C$112=1,AM7&gt;='الافتراضات'!$C$118),INDEX($C13:$BM13,1,AM7-'الافتراضات'!$C$118+4)*'الافتراضات'!$D$118,0)</f>
        <v/>
      </c>
      <c r="AN42" s="45">
        <f>IF(AND('الافتراضات'!$C$112=1,AN7&gt;='الافتراضات'!$C$118),INDEX($C13:$BM13,1,AN7-'الافتراضات'!$C$118+4)*'الافتراضات'!$D$118,0)</f>
        <v/>
      </c>
      <c r="AO42" s="45">
        <f>IF(AND('الافتراضات'!$C$112=1,AO7&gt;='الافتراضات'!$C$118),INDEX($C13:$BM13,1,AO7-'الافتراضات'!$C$118+4)*'الافتراضات'!$D$118,0)</f>
        <v/>
      </c>
      <c r="AP42" s="45">
        <f>IF(AND('الافتراضات'!$C$112=1,AP7&gt;='الافتراضات'!$C$118),INDEX($C13:$BM13,1,AP7-'الافتراضات'!$C$118+4)*'الافتراضات'!$D$118,0)</f>
        <v/>
      </c>
      <c r="AQ42" s="45">
        <f>IF(AND('الافتراضات'!$C$112=1,AQ7&gt;='الافتراضات'!$C$118),INDEX($C13:$BM13,1,AQ7-'الافتراضات'!$C$118+4)*'الافتراضات'!$D$118,0)</f>
        <v/>
      </c>
      <c r="AR42" s="45">
        <f>IF(AND('الافتراضات'!$C$112=1,AR7&gt;='الافتراضات'!$C$118),INDEX($C13:$BM13,1,AR7-'الافتراضات'!$C$118+4)*'الافتراضات'!$D$118,0)</f>
        <v/>
      </c>
      <c r="AS42" s="45">
        <f>IF(AND('الافتراضات'!$C$112=1,AS7&gt;='الافتراضات'!$C$118),INDEX($C13:$BM13,1,AS7-'الافتراضات'!$C$118+4)*'الافتراضات'!$D$118,0)</f>
        <v/>
      </c>
      <c r="AT42" s="45">
        <f>IF(AND('الافتراضات'!$C$112=1,AT7&gt;='الافتراضات'!$C$118),INDEX($C13:$BM13,1,AT7-'الافتراضات'!$C$118+4)*'الافتراضات'!$D$118,0)</f>
        <v/>
      </c>
      <c r="AU42" s="45">
        <f>IF(AND('الافتراضات'!$C$112=1,AU7&gt;='الافتراضات'!$C$118),INDEX($C13:$BM13,1,AU7-'الافتراضات'!$C$118+4)*'الافتراضات'!$D$118,0)</f>
        <v/>
      </c>
      <c r="AV42" s="45">
        <f>IF(AND('الافتراضات'!$C$112=1,AV7&gt;='الافتراضات'!$C$118),INDEX($C13:$BM13,1,AV7-'الافتراضات'!$C$118+4)*'الافتراضات'!$D$118,0)</f>
        <v/>
      </c>
      <c r="AW42" s="45">
        <f>IF(AND('الافتراضات'!$C$112=1,AW7&gt;='الافتراضات'!$C$118),INDEX($C13:$BM13,1,AW7-'الافتراضات'!$C$118+4)*'الافتراضات'!$D$118,0)</f>
        <v/>
      </c>
      <c r="AX42" s="45">
        <f>IF(AND('الافتراضات'!$C$112=1,AX7&gt;='الافتراضات'!$C$118),INDEX($C13:$BM13,1,AX7-'الافتراضات'!$C$118+4)*'الافتراضات'!$D$118,0)</f>
        <v/>
      </c>
      <c r="AY42" s="45">
        <f>IF(AND('الافتراضات'!$C$112=1,AY7&gt;='الافتراضات'!$C$118),INDEX($C13:$BM13,1,AY7-'الافتراضات'!$C$118+4)*'الافتراضات'!$D$118,0)</f>
        <v/>
      </c>
      <c r="AZ42" s="45">
        <f>IF(AND('الافتراضات'!$C$112=1,AZ7&gt;='الافتراضات'!$C$118),INDEX($C13:$BM13,1,AZ7-'الافتراضات'!$C$118+4)*'الافتراضات'!$D$118,0)</f>
        <v/>
      </c>
      <c r="BA42" s="45">
        <f>IF(AND('الافتراضات'!$C$112=1,BA7&gt;='الافتراضات'!$C$118),INDEX($C13:$BM13,1,BA7-'الافتراضات'!$C$118+4)*'الافتراضات'!$D$118,0)</f>
        <v/>
      </c>
      <c r="BB42" s="45">
        <f>IF(AND('الافتراضات'!$C$112=1,BB7&gt;='الافتراضات'!$C$118),INDEX($C13:$BM13,1,BB7-'الافتراضات'!$C$118+4)*'الافتراضات'!$D$118,0)</f>
        <v/>
      </c>
      <c r="BC42" s="45">
        <f>IF(AND('الافتراضات'!$C$112=1,BC7&gt;='الافتراضات'!$C$118),INDEX($C13:$BM13,1,BC7-'الافتراضات'!$C$118+4)*'الافتراضات'!$D$118,0)</f>
        <v/>
      </c>
      <c r="BD42" s="45">
        <f>IF(AND('الافتراضات'!$C$112=1,BD7&gt;='الافتراضات'!$C$118),INDEX($C13:$BM13,1,BD7-'الافتراضات'!$C$118+4)*'الافتراضات'!$D$118,0)</f>
        <v/>
      </c>
      <c r="BE42" s="45">
        <f>IF(AND('الافتراضات'!$C$112=1,BE7&gt;='الافتراضات'!$C$118),INDEX($C13:$BM13,1,BE7-'الافتراضات'!$C$118+4)*'الافتراضات'!$D$118,0)</f>
        <v/>
      </c>
      <c r="BF42" s="45">
        <f>IF(AND('الافتراضات'!$C$112=1,BF7&gt;='الافتراضات'!$C$118),INDEX($C13:$BM13,1,BF7-'الافتراضات'!$C$118+4)*'الافتراضات'!$D$118,0)</f>
        <v/>
      </c>
      <c r="BG42" s="45">
        <f>IF(AND('الافتراضات'!$C$112=1,BG7&gt;='الافتراضات'!$C$118),INDEX($C13:$BM13,1,BG7-'الافتراضات'!$C$118+4)*'الافتراضات'!$D$118,0)</f>
        <v/>
      </c>
      <c r="BH42" s="45">
        <f>IF(AND('الافتراضات'!$C$112=1,BH7&gt;='الافتراضات'!$C$118),INDEX($C13:$BM13,1,BH7-'الافتراضات'!$C$118+4)*'الافتراضات'!$D$118,0)</f>
        <v/>
      </c>
      <c r="BI42" s="45">
        <f>IF(AND('الافتراضات'!$C$112=1,BI7&gt;='الافتراضات'!$C$118),INDEX($C13:$BM13,1,BI7-'الافتراضات'!$C$118+4)*'الافتراضات'!$D$118,0)</f>
        <v/>
      </c>
      <c r="BJ42" s="45">
        <f>IF(AND('الافتراضات'!$C$112=1,BJ7&gt;='الافتراضات'!$C$118),INDEX($C13:$BM13,1,BJ7-'الافتراضات'!$C$118+4)*'الافتراضات'!$D$118,0)</f>
        <v/>
      </c>
      <c r="BK42" s="45">
        <f>IF(AND('الافتراضات'!$C$112=1,BK7&gt;='الافتراضات'!$C$118),INDEX($C13:$BM13,1,BK7-'الافتراضات'!$C$118+4)*'الافتراضات'!$D$118,0)</f>
        <v/>
      </c>
      <c r="BL42" s="45">
        <f>IF(AND('الافتراضات'!$C$112=1,BL7&gt;='الافتراضات'!$C$118),INDEX($C13:$BM13,1,BL7-'الافتراضات'!$C$118+4)*'الافتراضات'!$D$118,0)</f>
        <v/>
      </c>
      <c r="BM42" s="45">
        <f>IF(AND('الافتراضات'!$C$112=1,BM7&gt;='الافتراضات'!$C$118),INDEX($C13:$BM13,1,BM7-'الافتراضات'!$C$118+4)*'الافتراضات'!$D$118,0)</f>
        <v/>
      </c>
    </row>
    <row r="43">
      <c r="A43" s="4" t="inlineStr">
        <is>
          <t>إنفاق الاستحواذ — الدلنجات</t>
        </is>
      </c>
      <c r="B43" s="22" t="inlineStr">
        <is>
          <t>ج.م</t>
        </is>
      </c>
      <c r="C43" s="45">
        <f>IF(AND('الافتراضات'!$C$112=1,C7&gt;='الافتراضات'!$C$119),INDEX($C13:$BM13,1,C7-'الافتراضات'!$C$119+4)*'الافتراضات'!$D$119,0)</f>
        <v/>
      </c>
      <c r="D43" s="45">
        <f>IF(AND('الافتراضات'!$C$112=1,D7&gt;='الافتراضات'!$C$119),INDEX($C13:$BM13,1,D7-'الافتراضات'!$C$119+4)*'الافتراضات'!$D$119,0)</f>
        <v/>
      </c>
      <c r="E43" s="45">
        <f>IF(AND('الافتراضات'!$C$112=1,E7&gt;='الافتراضات'!$C$119),INDEX($C13:$BM13,1,E7-'الافتراضات'!$C$119+4)*'الافتراضات'!$D$119,0)</f>
        <v/>
      </c>
      <c r="F43" s="45">
        <f>IF(AND('الافتراضات'!$C$112=1,F7&gt;='الافتراضات'!$C$119),INDEX($C13:$BM13,1,F7-'الافتراضات'!$C$119+4)*'الافتراضات'!$D$119,0)</f>
        <v/>
      </c>
      <c r="G43" s="45">
        <f>IF(AND('الافتراضات'!$C$112=1,G7&gt;='الافتراضات'!$C$119),INDEX($C13:$BM13,1,G7-'الافتراضات'!$C$119+4)*'الافتراضات'!$D$119,0)</f>
        <v/>
      </c>
      <c r="H43" s="45">
        <f>IF(AND('الافتراضات'!$C$112=1,H7&gt;='الافتراضات'!$C$119),INDEX($C13:$BM13,1,H7-'الافتراضات'!$C$119+4)*'الافتراضات'!$D$119,0)</f>
        <v/>
      </c>
      <c r="I43" s="45">
        <f>IF(AND('الافتراضات'!$C$112=1,I7&gt;='الافتراضات'!$C$119),INDEX($C13:$BM13,1,I7-'الافتراضات'!$C$119+4)*'الافتراضات'!$D$119,0)</f>
        <v/>
      </c>
      <c r="J43" s="45">
        <f>IF(AND('الافتراضات'!$C$112=1,J7&gt;='الافتراضات'!$C$119),INDEX($C13:$BM13,1,J7-'الافتراضات'!$C$119+4)*'الافتراضات'!$D$119,0)</f>
        <v/>
      </c>
      <c r="K43" s="45">
        <f>IF(AND('الافتراضات'!$C$112=1,K7&gt;='الافتراضات'!$C$119),INDEX($C13:$BM13,1,K7-'الافتراضات'!$C$119+4)*'الافتراضات'!$D$119,0)</f>
        <v/>
      </c>
      <c r="L43" s="45">
        <f>IF(AND('الافتراضات'!$C$112=1,L7&gt;='الافتراضات'!$C$119),INDEX($C13:$BM13,1,L7-'الافتراضات'!$C$119+4)*'الافتراضات'!$D$119,0)</f>
        <v/>
      </c>
      <c r="M43" s="45">
        <f>IF(AND('الافتراضات'!$C$112=1,M7&gt;='الافتراضات'!$C$119),INDEX($C13:$BM13,1,M7-'الافتراضات'!$C$119+4)*'الافتراضات'!$D$119,0)</f>
        <v/>
      </c>
      <c r="N43" s="45">
        <f>IF(AND('الافتراضات'!$C$112=1,N7&gt;='الافتراضات'!$C$119),INDEX($C13:$BM13,1,N7-'الافتراضات'!$C$119+4)*'الافتراضات'!$D$119,0)</f>
        <v/>
      </c>
      <c r="O43" s="45">
        <f>IF(AND('الافتراضات'!$C$112=1,O7&gt;='الافتراضات'!$C$119),INDEX($C13:$BM13,1,O7-'الافتراضات'!$C$119+4)*'الافتراضات'!$D$119,0)</f>
        <v/>
      </c>
      <c r="P43" s="45">
        <f>IF(AND('الافتراضات'!$C$112=1,P7&gt;='الافتراضات'!$C$119),INDEX($C13:$BM13,1,P7-'الافتراضات'!$C$119+4)*'الافتراضات'!$D$119,0)</f>
        <v/>
      </c>
      <c r="Q43" s="45">
        <f>IF(AND('الافتراضات'!$C$112=1,Q7&gt;='الافتراضات'!$C$119),INDEX($C13:$BM13,1,Q7-'الافتراضات'!$C$119+4)*'الافتراضات'!$D$119,0)</f>
        <v/>
      </c>
      <c r="R43" s="45">
        <f>IF(AND('الافتراضات'!$C$112=1,R7&gt;='الافتراضات'!$C$119),INDEX($C13:$BM13,1,R7-'الافتراضات'!$C$119+4)*'الافتراضات'!$D$119,0)</f>
        <v/>
      </c>
      <c r="S43" s="45">
        <f>IF(AND('الافتراضات'!$C$112=1,S7&gt;='الافتراضات'!$C$119),INDEX($C13:$BM13,1,S7-'الافتراضات'!$C$119+4)*'الافتراضات'!$D$119,0)</f>
        <v/>
      </c>
      <c r="T43" s="45">
        <f>IF(AND('الافتراضات'!$C$112=1,T7&gt;='الافتراضات'!$C$119),INDEX($C13:$BM13,1,T7-'الافتراضات'!$C$119+4)*'الافتراضات'!$D$119,0)</f>
        <v/>
      </c>
      <c r="U43" s="45">
        <f>IF(AND('الافتراضات'!$C$112=1,U7&gt;='الافتراضات'!$C$119),INDEX($C13:$BM13,1,U7-'الافتراضات'!$C$119+4)*'الافتراضات'!$D$119,0)</f>
        <v/>
      </c>
      <c r="V43" s="45">
        <f>IF(AND('الافتراضات'!$C$112=1,V7&gt;='الافتراضات'!$C$119),INDEX($C13:$BM13,1,V7-'الافتراضات'!$C$119+4)*'الافتراضات'!$D$119,0)</f>
        <v/>
      </c>
      <c r="W43" s="45">
        <f>IF(AND('الافتراضات'!$C$112=1,W7&gt;='الافتراضات'!$C$119),INDEX($C13:$BM13,1,W7-'الافتراضات'!$C$119+4)*'الافتراضات'!$D$119,0)</f>
        <v/>
      </c>
      <c r="X43" s="45">
        <f>IF(AND('الافتراضات'!$C$112=1,X7&gt;='الافتراضات'!$C$119),INDEX($C13:$BM13,1,X7-'الافتراضات'!$C$119+4)*'الافتراضات'!$D$119,0)</f>
        <v/>
      </c>
      <c r="Y43" s="45">
        <f>IF(AND('الافتراضات'!$C$112=1,Y7&gt;='الافتراضات'!$C$119),INDEX($C13:$BM13,1,Y7-'الافتراضات'!$C$119+4)*'الافتراضات'!$D$119,0)</f>
        <v/>
      </c>
      <c r="Z43" s="45">
        <f>IF(AND('الافتراضات'!$C$112=1,Z7&gt;='الافتراضات'!$C$119),INDEX($C13:$BM13,1,Z7-'الافتراضات'!$C$119+4)*'الافتراضات'!$D$119,0)</f>
        <v/>
      </c>
      <c r="AA43" s="45">
        <f>IF(AND('الافتراضات'!$C$112=1,AA7&gt;='الافتراضات'!$C$119),INDEX($C13:$BM13,1,AA7-'الافتراضات'!$C$119+4)*'الافتراضات'!$D$119,0)</f>
        <v/>
      </c>
      <c r="AB43" s="45">
        <f>IF(AND('الافتراضات'!$C$112=1,AB7&gt;='الافتراضات'!$C$119),INDEX($C13:$BM13,1,AB7-'الافتراضات'!$C$119+4)*'الافتراضات'!$D$119,0)</f>
        <v/>
      </c>
      <c r="AC43" s="45">
        <f>IF(AND('الافتراضات'!$C$112=1,AC7&gt;='الافتراضات'!$C$119),INDEX($C13:$BM13,1,AC7-'الافتراضات'!$C$119+4)*'الافتراضات'!$D$119,0)</f>
        <v/>
      </c>
      <c r="AD43" s="45">
        <f>IF(AND('الافتراضات'!$C$112=1,AD7&gt;='الافتراضات'!$C$119),INDEX($C13:$BM13,1,AD7-'الافتراضات'!$C$119+4)*'الافتراضات'!$D$119,0)</f>
        <v/>
      </c>
      <c r="AE43" s="45">
        <f>IF(AND('الافتراضات'!$C$112=1,AE7&gt;='الافتراضات'!$C$119),INDEX($C13:$BM13,1,AE7-'الافتراضات'!$C$119+4)*'الافتراضات'!$D$119,0)</f>
        <v/>
      </c>
      <c r="AF43" s="45">
        <f>IF(AND('الافتراضات'!$C$112=1,AF7&gt;='الافتراضات'!$C$119),INDEX($C13:$BM13,1,AF7-'الافتراضات'!$C$119+4)*'الافتراضات'!$D$119,0)</f>
        <v/>
      </c>
      <c r="AG43" s="45">
        <f>IF(AND('الافتراضات'!$C$112=1,AG7&gt;='الافتراضات'!$C$119),INDEX($C13:$BM13,1,AG7-'الافتراضات'!$C$119+4)*'الافتراضات'!$D$119,0)</f>
        <v/>
      </c>
      <c r="AH43" s="45">
        <f>IF(AND('الافتراضات'!$C$112=1,AH7&gt;='الافتراضات'!$C$119),INDEX($C13:$BM13,1,AH7-'الافتراضات'!$C$119+4)*'الافتراضات'!$D$119,0)</f>
        <v/>
      </c>
      <c r="AI43" s="45">
        <f>IF(AND('الافتراضات'!$C$112=1,AI7&gt;='الافتراضات'!$C$119),INDEX($C13:$BM13,1,AI7-'الافتراضات'!$C$119+4)*'الافتراضات'!$D$119,0)</f>
        <v/>
      </c>
      <c r="AJ43" s="45">
        <f>IF(AND('الافتراضات'!$C$112=1,AJ7&gt;='الافتراضات'!$C$119),INDEX($C13:$BM13,1,AJ7-'الافتراضات'!$C$119+4)*'الافتراضات'!$D$119,0)</f>
        <v/>
      </c>
      <c r="AK43" s="45">
        <f>IF(AND('الافتراضات'!$C$112=1,AK7&gt;='الافتراضات'!$C$119),INDEX($C13:$BM13,1,AK7-'الافتراضات'!$C$119+4)*'الافتراضات'!$D$119,0)</f>
        <v/>
      </c>
      <c r="AL43" s="45">
        <f>IF(AND('الافتراضات'!$C$112=1,AL7&gt;='الافتراضات'!$C$119),INDEX($C13:$BM13,1,AL7-'الافتراضات'!$C$119+4)*'الافتراضات'!$D$119,0)</f>
        <v/>
      </c>
      <c r="AM43" s="45">
        <f>IF(AND('الافتراضات'!$C$112=1,AM7&gt;='الافتراضات'!$C$119),INDEX($C13:$BM13,1,AM7-'الافتراضات'!$C$119+4)*'الافتراضات'!$D$119,0)</f>
        <v/>
      </c>
      <c r="AN43" s="45">
        <f>IF(AND('الافتراضات'!$C$112=1,AN7&gt;='الافتراضات'!$C$119),INDEX($C13:$BM13,1,AN7-'الافتراضات'!$C$119+4)*'الافتراضات'!$D$119,0)</f>
        <v/>
      </c>
      <c r="AO43" s="45">
        <f>IF(AND('الافتراضات'!$C$112=1,AO7&gt;='الافتراضات'!$C$119),INDEX($C13:$BM13,1,AO7-'الافتراضات'!$C$119+4)*'الافتراضات'!$D$119,0)</f>
        <v/>
      </c>
      <c r="AP43" s="45">
        <f>IF(AND('الافتراضات'!$C$112=1,AP7&gt;='الافتراضات'!$C$119),INDEX($C13:$BM13,1,AP7-'الافتراضات'!$C$119+4)*'الافتراضات'!$D$119,0)</f>
        <v/>
      </c>
      <c r="AQ43" s="45">
        <f>IF(AND('الافتراضات'!$C$112=1,AQ7&gt;='الافتراضات'!$C$119),INDEX($C13:$BM13,1,AQ7-'الافتراضات'!$C$119+4)*'الافتراضات'!$D$119,0)</f>
        <v/>
      </c>
      <c r="AR43" s="45">
        <f>IF(AND('الافتراضات'!$C$112=1,AR7&gt;='الافتراضات'!$C$119),INDEX($C13:$BM13,1,AR7-'الافتراضات'!$C$119+4)*'الافتراضات'!$D$119,0)</f>
        <v/>
      </c>
      <c r="AS43" s="45">
        <f>IF(AND('الافتراضات'!$C$112=1,AS7&gt;='الافتراضات'!$C$119),INDEX($C13:$BM13,1,AS7-'الافتراضات'!$C$119+4)*'الافتراضات'!$D$119,0)</f>
        <v/>
      </c>
      <c r="AT43" s="45">
        <f>IF(AND('الافتراضات'!$C$112=1,AT7&gt;='الافتراضات'!$C$119),INDEX($C13:$BM13,1,AT7-'الافتراضات'!$C$119+4)*'الافتراضات'!$D$119,0)</f>
        <v/>
      </c>
      <c r="AU43" s="45">
        <f>IF(AND('الافتراضات'!$C$112=1,AU7&gt;='الافتراضات'!$C$119),INDEX($C13:$BM13,1,AU7-'الافتراضات'!$C$119+4)*'الافتراضات'!$D$119,0)</f>
        <v/>
      </c>
      <c r="AV43" s="45">
        <f>IF(AND('الافتراضات'!$C$112=1,AV7&gt;='الافتراضات'!$C$119),INDEX($C13:$BM13,1,AV7-'الافتراضات'!$C$119+4)*'الافتراضات'!$D$119,0)</f>
        <v/>
      </c>
      <c r="AW43" s="45">
        <f>IF(AND('الافتراضات'!$C$112=1,AW7&gt;='الافتراضات'!$C$119),INDEX($C13:$BM13,1,AW7-'الافتراضات'!$C$119+4)*'الافتراضات'!$D$119,0)</f>
        <v/>
      </c>
      <c r="AX43" s="45">
        <f>IF(AND('الافتراضات'!$C$112=1,AX7&gt;='الافتراضات'!$C$119),INDEX($C13:$BM13,1,AX7-'الافتراضات'!$C$119+4)*'الافتراضات'!$D$119,0)</f>
        <v/>
      </c>
      <c r="AY43" s="45">
        <f>IF(AND('الافتراضات'!$C$112=1,AY7&gt;='الافتراضات'!$C$119),INDEX($C13:$BM13,1,AY7-'الافتراضات'!$C$119+4)*'الافتراضات'!$D$119,0)</f>
        <v/>
      </c>
      <c r="AZ43" s="45">
        <f>IF(AND('الافتراضات'!$C$112=1,AZ7&gt;='الافتراضات'!$C$119),INDEX($C13:$BM13,1,AZ7-'الافتراضات'!$C$119+4)*'الافتراضات'!$D$119,0)</f>
        <v/>
      </c>
      <c r="BA43" s="45">
        <f>IF(AND('الافتراضات'!$C$112=1,BA7&gt;='الافتراضات'!$C$119),INDEX($C13:$BM13,1,BA7-'الافتراضات'!$C$119+4)*'الافتراضات'!$D$119,0)</f>
        <v/>
      </c>
      <c r="BB43" s="45">
        <f>IF(AND('الافتراضات'!$C$112=1,BB7&gt;='الافتراضات'!$C$119),INDEX($C13:$BM13,1,BB7-'الافتراضات'!$C$119+4)*'الافتراضات'!$D$119,0)</f>
        <v/>
      </c>
      <c r="BC43" s="45">
        <f>IF(AND('الافتراضات'!$C$112=1,BC7&gt;='الافتراضات'!$C$119),INDEX($C13:$BM13,1,BC7-'الافتراضات'!$C$119+4)*'الافتراضات'!$D$119,0)</f>
        <v/>
      </c>
      <c r="BD43" s="45">
        <f>IF(AND('الافتراضات'!$C$112=1,BD7&gt;='الافتراضات'!$C$119),INDEX($C13:$BM13,1,BD7-'الافتراضات'!$C$119+4)*'الافتراضات'!$D$119,0)</f>
        <v/>
      </c>
      <c r="BE43" s="45">
        <f>IF(AND('الافتراضات'!$C$112=1,BE7&gt;='الافتراضات'!$C$119),INDEX($C13:$BM13,1,BE7-'الافتراضات'!$C$119+4)*'الافتراضات'!$D$119,0)</f>
        <v/>
      </c>
      <c r="BF43" s="45">
        <f>IF(AND('الافتراضات'!$C$112=1,BF7&gt;='الافتراضات'!$C$119),INDEX($C13:$BM13,1,BF7-'الافتراضات'!$C$119+4)*'الافتراضات'!$D$119,0)</f>
        <v/>
      </c>
      <c r="BG43" s="45">
        <f>IF(AND('الافتراضات'!$C$112=1,BG7&gt;='الافتراضات'!$C$119),INDEX($C13:$BM13,1,BG7-'الافتراضات'!$C$119+4)*'الافتراضات'!$D$119,0)</f>
        <v/>
      </c>
      <c r="BH43" s="45">
        <f>IF(AND('الافتراضات'!$C$112=1,BH7&gt;='الافتراضات'!$C$119),INDEX($C13:$BM13,1,BH7-'الافتراضات'!$C$119+4)*'الافتراضات'!$D$119,0)</f>
        <v/>
      </c>
      <c r="BI43" s="45">
        <f>IF(AND('الافتراضات'!$C$112=1,BI7&gt;='الافتراضات'!$C$119),INDEX($C13:$BM13,1,BI7-'الافتراضات'!$C$119+4)*'الافتراضات'!$D$119,0)</f>
        <v/>
      </c>
      <c r="BJ43" s="45">
        <f>IF(AND('الافتراضات'!$C$112=1,BJ7&gt;='الافتراضات'!$C$119),INDEX($C13:$BM13,1,BJ7-'الافتراضات'!$C$119+4)*'الافتراضات'!$D$119,0)</f>
        <v/>
      </c>
      <c r="BK43" s="45">
        <f>IF(AND('الافتراضات'!$C$112=1,BK7&gt;='الافتراضات'!$C$119),INDEX($C13:$BM13,1,BK7-'الافتراضات'!$C$119+4)*'الافتراضات'!$D$119,0)</f>
        <v/>
      </c>
      <c r="BL43" s="45">
        <f>IF(AND('الافتراضات'!$C$112=1,BL7&gt;='الافتراضات'!$C$119),INDEX($C13:$BM13,1,BL7-'الافتراضات'!$C$119+4)*'الافتراضات'!$D$119,0)</f>
        <v/>
      </c>
      <c r="BM43" s="45">
        <f>IF(AND('الافتراضات'!$C$112=1,BM7&gt;='الافتراضات'!$C$119),INDEX($C13:$BM13,1,BM7-'الافتراضات'!$C$119+4)*'الافتراضات'!$D$119,0)</f>
        <v/>
      </c>
    </row>
    <row r="44">
      <c r="A44" s="4" t="inlineStr">
        <is>
          <t>إنفاق الاستحواذ — كوم حمادة</t>
        </is>
      </c>
      <c r="B44" s="22" t="inlineStr">
        <is>
          <t>ج.م</t>
        </is>
      </c>
      <c r="C44" s="45">
        <f>IF(AND('الافتراضات'!$C$112=1,C7&gt;='الافتراضات'!$C$120),INDEX($C13:$BM13,1,C7-'الافتراضات'!$C$120+4)*'الافتراضات'!$D$120,0)</f>
        <v/>
      </c>
      <c r="D44" s="45">
        <f>IF(AND('الافتراضات'!$C$112=1,D7&gt;='الافتراضات'!$C$120),INDEX($C13:$BM13,1,D7-'الافتراضات'!$C$120+4)*'الافتراضات'!$D$120,0)</f>
        <v/>
      </c>
      <c r="E44" s="45">
        <f>IF(AND('الافتراضات'!$C$112=1,E7&gt;='الافتراضات'!$C$120),INDEX($C13:$BM13,1,E7-'الافتراضات'!$C$120+4)*'الافتراضات'!$D$120,0)</f>
        <v/>
      </c>
      <c r="F44" s="45">
        <f>IF(AND('الافتراضات'!$C$112=1,F7&gt;='الافتراضات'!$C$120),INDEX($C13:$BM13,1,F7-'الافتراضات'!$C$120+4)*'الافتراضات'!$D$120,0)</f>
        <v/>
      </c>
      <c r="G44" s="45">
        <f>IF(AND('الافتراضات'!$C$112=1,G7&gt;='الافتراضات'!$C$120),INDEX($C13:$BM13,1,G7-'الافتراضات'!$C$120+4)*'الافتراضات'!$D$120,0)</f>
        <v/>
      </c>
      <c r="H44" s="45">
        <f>IF(AND('الافتراضات'!$C$112=1,H7&gt;='الافتراضات'!$C$120),INDEX($C13:$BM13,1,H7-'الافتراضات'!$C$120+4)*'الافتراضات'!$D$120,0)</f>
        <v/>
      </c>
      <c r="I44" s="45">
        <f>IF(AND('الافتراضات'!$C$112=1,I7&gt;='الافتراضات'!$C$120),INDEX($C13:$BM13,1,I7-'الافتراضات'!$C$120+4)*'الافتراضات'!$D$120,0)</f>
        <v/>
      </c>
      <c r="J44" s="45">
        <f>IF(AND('الافتراضات'!$C$112=1,J7&gt;='الافتراضات'!$C$120),INDEX($C13:$BM13,1,J7-'الافتراضات'!$C$120+4)*'الافتراضات'!$D$120,0)</f>
        <v/>
      </c>
      <c r="K44" s="45">
        <f>IF(AND('الافتراضات'!$C$112=1,K7&gt;='الافتراضات'!$C$120),INDEX($C13:$BM13,1,K7-'الافتراضات'!$C$120+4)*'الافتراضات'!$D$120,0)</f>
        <v/>
      </c>
      <c r="L44" s="45">
        <f>IF(AND('الافتراضات'!$C$112=1,L7&gt;='الافتراضات'!$C$120),INDEX($C13:$BM13,1,L7-'الافتراضات'!$C$120+4)*'الافتراضات'!$D$120,0)</f>
        <v/>
      </c>
      <c r="M44" s="45">
        <f>IF(AND('الافتراضات'!$C$112=1,M7&gt;='الافتراضات'!$C$120),INDEX($C13:$BM13,1,M7-'الافتراضات'!$C$120+4)*'الافتراضات'!$D$120,0)</f>
        <v/>
      </c>
      <c r="N44" s="45">
        <f>IF(AND('الافتراضات'!$C$112=1,N7&gt;='الافتراضات'!$C$120),INDEX($C13:$BM13,1,N7-'الافتراضات'!$C$120+4)*'الافتراضات'!$D$120,0)</f>
        <v/>
      </c>
      <c r="O44" s="45">
        <f>IF(AND('الافتراضات'!$C$112=1,O7&gt;='الافتراضات'!$C$120),INDEX($C13:$BM13,1,O7-'الافتراضات'!$C$120+4)*'الافتراضات'!$D$120,0)</f>
        <v/>
      </c>
      <c r="P44" s="45">
        <f>IF(AND('الافتراضات'!$C$112=1,P7&gt;='الافتراضات'!$C$120),INDEX($C13:$BM13,1,P7-'الافتراضات'!$C$120+4)*'الافتراضات'!$D$120,0)</f>
        <v/>
      </c>
      <c r="Q44" s="45">
        <f>IF(AND('الافتراضات'!$C$112=1,Q7&gt;='الافتراضات'!$C$120),INDEX($C13:$BM13,1,Q7-'الافتراضات'!$C$120+4)*'الافتراضات'!$D$120,0)</f>
        <v/>
      </c>
      <c r="R44" s="45">
        <f>IF(AND('الافتراضات'!$C$112=1,R7&gt;='الافتراضات'!$C$120),INDEX($C13:$BM13,1,R7-'الافتراضات'!$C$120+4)*'الافتراضات'!$D$120,0)</f>
        <v/>
      </c>
      <c r="S44" s="45">
        <f>IF(AND('الافتراضات'!$C$112=1,S7&gt;='الافتراضات'!$C$120),INDEX($C13:$BM13,1,S7-'الافتراضات'!$C$120+4)*'الافتراضات'!$D$120,0)</f>
        <v/>
      </c>
      <c r="T44" s="45">
        <f>IF(AND('الافتراضات'!$C$112=1,T7&gt;='الافتراضات'!$C$120),INDEX($C13:$BM13,1,T7-'الافتراضات'!$C$120+4)*'الافتراضات'!$D$120,0)</f>
        <v/>
      </c>
      <c r="U44" s="45">
        <f>IF(AND('الافتراضات'!$C$112=1,U7&gt;='الافتراضات'!$C$120),INDEX($C13:$BM13,1,U7-'الافتراضات'!$C$120+4)*'الافتراضات'!$D$120,0)</f>
        <v/>
      </c>
      <c r="V44" s="45">
        <f>IF(AND('الافتراضات'!$C$112=1,V7&gt;='الافتراضات'!$C$120),INDEX($C13:$BM13,1,V7-'الافتراضات'!$C$120+4)*'الافتراضات'!$D$120,0)</f>
        <v/>
      </c>
      <c r="W44" s="45">
        <f>IF(AND('الافتراضات'!$C$112=1,W7&gt;='الافتراضات'!$C$120),INDEX($C13:$BM13,1,W7-'الافتراضات'!$C$120+4)*'الافتراضات'!$D$120,0)</f>
        <v/>
      </c>
      <c r="X44" s="45">
        <f>IF(AND('الافتراضات'!$C$112=1,X7&gt;='الافتراضات'!$C$120),INDEX($C13:$BM13,1,X7-'الافتراضات'!$C$120+4)*'الافتراضات'!$D$120,0)</f>
        <v/>
      </c>
      <c r="Y44" s="45">
        <f>IF(AND('الافتراضات'!$C$112=1,Y7&gt;='الافتراضات'!$C$120),INDEX($C13:$BM13,1,Y7-'الافتراضات'!$C$120+4)*'الافتراضات'!$D$120,0)</f>
        <v/>
      </c>
      <c r="Z44" s="45">
        <f>IF(AND('الافتراضات'!$C$112=1,Z7&gt;='الافتراضات'!$C$120),INDEX($C13:$BM13,1,Z7-'الافتراضات'!$C$120+4)*'الافتراضات'!$D$120,0)</f>
        <v/>
      </c>
      <c r="AA44" s="45">
        <f>IF(AND('الافتراضات'!$C$112=1,AA7&gt;='الافتراضات'!$C$120),INDEX($C13:$BM13,1,AA7-'الافتراضات'!$C$120+4)*'الافتراضات'!$D$120,0)</f>
        <v/>
      </c>
      <c r="AB44" s="45">
        <f>IF(AND('الافتراضات'!$C$112=1,AB7&gt;='الافتراضات'!$C$120),INDEX($C13:$BM13,1,AB7-'الافتراضات'!$C$120+4)*'الافتراضات'!$D$120,0)</f>
        <v/>
      </c>
      <c r="AC44" s="45">
        <f>IF(AND('الافتراضات'!$C$112=1,AC7&gt;='الافتراضات'!$C$120),INDEX($C13:$BM13,1,AC7-'الافتراضات'!$C$120+4)*'الافتراضات'!$D$120,0)</f>
        <v/>
      </c>
      <c r="AD44" s="45">
        <f>IF(AND('الافتراضات'!$C$112=1,AD7&gt;='الافتراضات'!$C$120),INDEX($C13:$BM13,1,AD7-'الافتراضات'!$C$120+4)*'الافتراضات'!$D$120,0)</f>
        <v/>
      </c>
      <c r="AE44" s="45">
        <f>IF(AND('الافتراضات'!$C$112=1,AE7&gt;='الافتراضات'!$C$120),INDEX($C13:$BM13,1,AE7-'الافتراضات'!$C$120+4)*'الافتراضات'!$D$120,0)</f>
        <v/>
      </c>
      <c r="AF44" s="45">
        <f>IF(AND('الافتراضات'!$C$112=1,AF7&gt;='الافتراضات'!$C$120),INDEX($C13:$BM13,1,AF7-'الافتراضات'!$C$120+4)*'الافتراضات'!$D$120,0)</f>
        <v/>
      </c>
      <c r="AG44" s="45">
        <f>IF(AND('الافتراضات'!$C$112=1,AG7&gt;='الافتراضات'!$C$120),INDEX($C13:$BM13,1,AG7-'الافتراضات'!$C$120+4)*'الافتراضات'!$D$120,0)</f>
        <v/>
      </c>
      <c r="AH44" s="45">
        <f>IF(AND('الافتراضات'!$C$112=1,AH7&gt;='الافتراضات'!$C$120),INDEX($C13:$BM13,1,AH7-'الافتراضات'!$C$120+4)*'الافتراضات'!$D$120,0)</f>
        <v/>
      </c>
      <c r="AI44" s="45">
        <f>IF(AND('الافتراضات'!$C$112=1,AI7&gt;='الافتراضات'!$C$120),INDEX($C13:$BM13,1,AI7-'الافتراضات'!$C$120+4)*'الافتراضات'!$D$120,0)</f>
        <v/>
      </c>
      <c r="AJ44" s="45">
        <f>IF(AND('الافتراضات'!$C$112=1,AJ7&gt;='الافتراضات'!$C$120),INDEX($C13:$BM13,1,AJ7-'الافتراضات'!$C$120+4)*'الافتراضات'!$D$120,0)</f>
        <v/>
      </c>
      <c r="AK44" s="45">
        <f>IF(AND('الافتراضات'!$C$112=1,AK7&gt;='الافتراضات'!$C$120),INDEX($C13:$BM13,1,AK7-'الافتراضات'!$C$120+4)*'الافتراضات'!$D$120,0)</f>
        <v/>
      </c>
      <c r="AL44" s="45">
        <f>IF(AND('الافتراضات'!$C$112=1,AL7&gt;='الافتراضات'!$C$120),INDEX($C13:$BM13,1,AL7-'الافتراضات'!$C$120+4)*'الافتراضات'!$D$120,0)</f>
        <v/>
      </c>
      <c r="AM44" s="45">
        <f>IF(AND('الافتراضات'!$C$112=1,AM7&gt;='الافتراضات'!$C$120),INDEX($C13:$BM13,1,AM7-'الافتراضات'!$C$120+4)*'الافتراضات'!$D$120,0)</f>
        <v/>
      </c>
      <c r="AN44" s="45">
        <f>IF(AND('الافتراضات'!$C$112=1,AN7&gt;='الافتراضات'!$C$120),INDEX($C13:$BM13,1,AN7-'الافتراضات'!$C$120+4)*'الافتراضات'!$D$120,0)</f>
        <v/>
      </c>
      <c r="AO44" s="45">
        <f>IF(AND('الافتراضات'!$C$112=1,AO7&gt;='الافتراضات'!$C$120),INDEX($C13:$BM13,1,AO7-'الافتراضات'!$C$120+4)*'الافتراضات'!$D$120,0)</f>
        <v/>
      </c>
      <c r="AP44" s="45">
        <f>IF(AND('الافتراضات'!$C$112=1,AP7&gt;='الافتراضات'!$C$120),INDEX($C13:$BM13,1,AP7-'الافتراضات'!$C$120+4)*'الافتراضات'!$D$120,0)</f>
        <v/>
      </c>
      <c r="AQ44" s="45">
        <f>IF(AND('الافتراضات'!$C$112=1,AQ7&gt;='الافتراضات'!$C$120),INDEX($C13:$BM13,1,AQ7-'الافتراضات'!$C$120+4)*'الافتراضات'!$D$120,0)</f>
        <v/>
      </c>
      <c r="AR44" s="45">
        <f>IF(AND('الافتراضات'!$C$112=1,AR7&gt;='الافتراضات'!$C$120),INDEX($C13:$BM13,1,AR7-'الافتراضات'!$C$120+4)*'الافتراضات'!$D$120,0)</f>
        <v/>
      </c>
      <c r="AS44" s="45">
        <f>IF(AND('الافتراضات'!$C$112=1,AS7&gt;='الافتراضات'!$C$120),INDEX($C13:$BM13,1,AS7-'الافتراضات'!$C$120+4)*'الافتراضات'!$D$120,0)</f>
        <v/>
      </c>
      <c r="AT44" s="45">
        <f>IF(AND('الافتراضات'!$C$112=1,AT7&gt;='الافتراضات'!$C$120),INDEX($C13:$BM13,1,AT7-'الافتراضات'!$C$120+4)*'الافتراضات'!$D$120,0)</f>
        <v/>
      </c>
      <c r="AU44" s="45">
        <f>IF(AND('الافتراضات'!$C$112=1,AU7&gt;='الافتراضات'!$C$120),INDEX($C13:$BM13,1,AU7-'الافتراضات'!$C$120+4)*'الافتراضات'!$D$120,0)</f>
        <v/>
      </c>
      <c r="AV44" s="45">
        <f>IF(AND('الافتراضات'!$C$112=1,AV7&gt;='الافتراضات'!$C$120),INDEX($C13:$BM13,1,AV7-'الافتراضات'!$C$120+4)*'الافتراضات'!$D$120,0)</f>
        <v/>
      </c>
      <c r="AW44" s="45">
        <f>IF(AND('الافتراضات'!$C$112=1,AW7&gt;='الافتراضات'!$C$120),INDEX($C13:$BM13,1,AW7-'الافتراضات'!$C$120+4)*'الافتراضات'!$D$120,0)</f>
        <v/>
      </c>
      <c r="AX44" s="45">
        <f>IF(AND('الافتراضات'!$C$112=1,AX7&gt;='الافتراضات'!$C$120),INDEX($C13:$BM13,1,AX7-'الافتراضات'!$C$120+4)*'الافتراضات'!$D$120,0)</f>
        <v/>
      </c>
      <c r="AY44" s="45">
        <f>IF(AND('الافتراضات'!$C$112=1,AY7&gt;='الافتراضات'!$C$120),INDEX($C13:$BM13,1,AY7-'الافتراضات'!$C$120+4)*'الافتراضات'!$D$120,0)</f>
        <v/>
      </c>
      <c r="AZ44" s="45">
        <f>IF(AND('الافتراضات'!$C$112=1,AZ7&gt;='الافتراضات'!$C$120),INDEX($C13:$BM13,1,AZ7-'الافتراضات'!$C$120+4)*'الافتراضات'!$D$120,0)</f>
        <v/>
      </c>
      <c r="BA44" s="45">
        <f>IF(AND('الافتراضات'!$C$112=1,BA7&gt;='الافتراضات'!$C$120),INDEX($C13:$BM13,1,BA7-'الافتراضات'!$C$120+4)*'الافتراضات'!$D$120,0)</f>
        <v/>
      </c>
      <c r="BB44" s="45">
        <f>IF(AND('الافتراضات'!$C$112=1,BB7&gt;='الافتراضات'!$C$120),INDEX($C13:$BM13,1,BB7-'الافتراضات'!$C$120+4)*'الافتراضات'!$D$120,0)</f>
        <v/>
      </c>
      <c r="BC44" s="45">
        <f>IF(AND('الافتراضات'!$C$112=1,BC7&gt;='الافتراضات'!$C$120),INDEX($C13:$BM13,1,BC7-'الافتراضات'!$C$120+4)*'الافتراضات'!$D$120,0)</f>
        <v/>
      </c>
      <c r="BD44" s="45">
        <f>IF(AND('الافتراضات'!$C$112=1,BD7&gt;='الافتراضات'!$C$120),INDEX($C13:$BM13,1,BD7-'الافتراضات'!$C$120+4)*'الافتراضات'!$D$120,0)</f>
        <v/>
      </c>
      <c r="BE44" s="45">
        <f>IF(AND('الافتراضات'!$C$112=1,BE7&gt;='الافتراضات'!$C$120),INDEX($C13:$BM13,1,BE7-'الافتراضات'!$C$120+4)*'الافتراضات'!$D$120,0)</f>
        <v/>
      </c>
      <c r="BF44" s="45">
        <f>IF(AND('الافتراضات'!$C$112=1,BF7&gt;='الافتراضات'!$C$120),INDEX($C13:$BM13,1,BF7-'الافتراضات'!$C$120+4)*'الافتراضات'!$D$120,0)</f>
        <v/>
      </c>
      <c r="BG44" s="45">
        <f>IF(AND('الافتراضات'!$C$112=1,BG7&gt;='الافتراضات'!$C$120),INDEX($C13:$BM13,1,BG7-'الافتراضات'!$C$120+4)*'الافتراضات'!$D$120,0)</f>
        <v/>
      </c>
      <c r="BH44" s="45">
        <f>IF(AND('الافتراضات'!$C$112=1,BH7&gt;='الافتراضات'!$C$120),INDEX($C13:$BM13,1,BH7-'الافتراضات'!$C$120+4)*'الافتراضات'!$D$120,0)</f>
        <v/>
      </c>
      <c r="BI44" s="45">
        <f>IF(AND('الافتراضات'!$C$112=1,BI7&gt;='الافتراضات'!$C$120),INDEX($C13:$BM13,1,BI7-'الافتراضات'!$C$120+4)*'الافتراضات'!$D$120,0)</f>
        <v/>
      </c>
      <c r="BJ44" s="45">
        <f>IF(AND('الافتراضات'!$C$112=1,BJ7&gt;='الافتراضات'!$C$120),INDEX($C13:$BM13,1,BJ7-'الافتراضات'!$C$120+4)*'الافتراضات'!$D$120,0)</f>
        <v/>
      </c>
      <c r="BK44" s="45">
        <f>IF(AND('الافتراضات'!$C$112=1,BK7&gt;='الافتراضات'!$C$120),INDEX($C13:$BM13,1,BK7-'الافتراضات'!$C$120+4)*'الافتراضات'!$D$120,0)</f>
        <v/>
      </c>
      <c r="BL44" s="45">
        <f>IF(AND('الافتراضات'!$C$112=1,BL7&gt;='الافتراضات'!$C$120),INDEX($C13:$BM13,1,BL7-'الافتراضات'!$C$120+4)*'الافتراضات'!$D$120,0)</f>
        <v/>
      </c>
      <c r="BM44" s="45">
        <f>IF(AND('الافتراضات'!$C$112=1,BM7&gt;='الافتراضات'!$C$120),INDEX($C13:$BM13,1,BM7-'الافتراضات'!$C$120+4)*'الافتراضات'!$D$120,0)</f>
        <v/>
      </c>
    </row>
    <row r="45">
      <c r="A45" s="4" t="inlineStr">
        <is>
          <t>إنفاق الاستحواذ — بدر</t>
        </is>
      </c>
      <c r="B45" s="22" t="inlineStr">
        <is>
          <t>ج.م</t>
        </is>
      </c>
      <c r="C45" s="45">
        <f>IF(AND('الافتراضات'!$C$112=1,C7&gt;='الافتراضات'!$C$121),INDEX($C13:$BM13,1,C7-'الافتراضات'!$C$121+4)*'الافتراضات'!$D$121,0)</f>
        <v/>
      </c>
      <c r="D45" s="45">
        <f>IF(AND('الافتراضات'!$C$112=1,D7&gt;='الافتراضات'!$C$121),INDEX($C13:$BM13,1,D7-'الافتراضات'!$C$121+4)*'الافتراضات'!$D$121,0)</f>
        <v/>
      </c>
      <c r="E45" s="45">
        <f>IF(AND('الافتراضات'!$C$112=1,E7&gt;='الافتراضات'!$C$121),INDEX($C13:$BM13,1,E7-'الافتراضات'!$C$121+4)*'الافتراضات'!$D$121,0)</f>
        <v/>
      </c>
      <c r="F45" s="45">
        <f>IF(AND('الافتراضات'!$C$112=1,F7&gt;='الافتراضات'!$C$121),INDEX($C13:$BM13,1,F7-'الافتراضات'!$C$121+4)*'الافتراضات'!$D$121,0)</f>
        <v/>
      </c>
      <c r="G45" s="45">
        <f>IF(AND('الافتراضات'!$C$112=1,G7&gt;='الافتراضات'!$C$121),INDEX($C13:$BM13,1,G7-'الافتراضات'!$C$121+4)*'الافتراضات'!$D$121,0)</f>
        <v/>
      </c>
      <c r="H45" s="45">
        <f>IF(AND('الافتراضات'!$C$112=1,H7&gt;='الافتراضات'!$C$121),INDEX($C13:$BM13,1,H7-'الافتراضات'!$C$121+4)*'الافتراضات'!$D$121,0)</f>
        <v/>
      </c>
      <c r="I45" s="45">
        <f>IF(AND('الافتراضات'!$C$112=1,I7&gt;='الافتراضات'!$C$121),INDEX($C13:$BM13,1,I7-'الافتراضات'!$C$121+4)*'الافتراضات'!$D$121,0)</f>
        <v/>
      </c>
      <c r="J45" s="45">
        <f>IF(AND('الافتراضات'!$C$112=1,J7&gt;='الافتراضات'!$C$121),INDEX($C13:$BM13,1,J7-'الافتراضات'!$C$121+4)*'الافتراضات'!$D$121,0)</f>
        <v/>
      </c>
      <c r="K45" s="45">
        <f>IF(AND('الافتراضات'!$C$112=1,K7&gt;='الافتراضات'!$C$121),INDEX($C13:$BM13,1,K7-'الافتراضات'!$C$121+4)*'الافتراضات'!$D$121,0)</f>
        <v/>
      </c>
      <c r="L45" s="45">
        <f>IF(AND('الافتراضات'!$C$112=1,L7&gt;='الافتراضات'!$C$121),INDEX($C13:$BM13,1,L7-'الافتراضات'!$C$121+4)*'الافتراضات'!$D$121,0)</f>
        <v/>
      </c>
      <c r="M45" s="45">
        <f>IF(AND('الافتراضات'!$C$112=1,M7&gt;='الافتراضات'!$C$121),INDEX($C13:$BM13,1,M7-'الافتراضات'!$C$121+4)*'الافتراضات'!$D$121,0)</f>
        <v/>
      </c>
      <c r="N45" s="45">
        <f>IF(AND('الافتراضات'!$C$112=1,N7&gt;='الافتراضات'!$C$121),INDEX($C13:$BM13,1,N7-'الافتراضات'!$C$121+4)*'الافتراضات'!$D$121,0)</f>
        <v/>
      </c>
      <c r="O45" s="45">
        <f>IF(AND('الافتراضات'!$C$112=1,O7&gt;='الافتراضات'!$C$121),INDEX($C13:$BM13,1,O7-'الافتراضات'!$C$121+4)*'الافتراضات'!$D$121,0)</f>
        <v/>
      </c>
      <c r="P45" s="45">
        <f>IF(AND('الافتراضات'!$C$112=1,P7&gt;='الافتراضات'!$C$121),INDEX($C13:$BM13,1,P7-'الافتراضات'!$C$121+4)*'الافتراضات'!$D$121,0)</f>
        <v/>
      </c>
      <c r="Q45" s="45">
        <f>IF(AND('الافتراضات'!$C$112=1,Q7&gt;='الافتراضات'!$C$121),INDEX($C13:$BM13,1,Q7-'الافتراضات'!$C$121+4)*'الافتراضات'!$D$121,0)</f>
        <v/>
      </c>
      <c r="R45" s="45">
        <f>IF(AND('الافتراضات'!$C$112=1,R7&gt;='الافتراضات'!$C$121),INDEX($C13:$BM13,1,R7-'الافتراضات'!$C$121+4)*'الافتراضات'!$D$121,0)</f>
        <v/>
      </c>
      <c r="S45" s="45">
        <f>IF(AND('الافتراضات'!$C$112=1,S7&gt;='الافتراضات'!$C$121),INDEX($C13:$BM13,1,S7-'الافتراضات'!$C$121+4)*'الافتراضات'!$D$121,0)</f>
        <v/>
      </c>
      <c r="T45" s="45">
        <f>IF(AND('الافتراضات'!$C$112=1,T7&gt;='الافتراضات'!$C$121),INDEX($C13:$BM13,1,T7-'الافتراضات'!$C$121+4)*'الافتراضات'!$D$121,0)</f>
        <v/>
      </c>
      <c r="U45" s="45">
        <f>IF(AND('الافتراضات'!$C$112=1,U7&gt;='الافتراضات'!$C$121),INDEX($C13:$BM13,1,U7-'الافتراضات'!$C$121+4)*'الافتراضات'!$D$121,0)</f>
        <v/>
      </c>
      <c r="V45" s="45">
        <f>IF(AND('الافتراضات'!$C$112=1,V7&gt;='الافتراضات'!$C$121),INDEX($C13:$BM13,1,V7-'الافتراضات'!$C$121+4)*'الافتراضات'!$D$121,0)</f>
        <v/>
      </c>
      <c r="W45" s="45">
        <f>IF(AND('الافتراضات'!$C$112=1,W7&gt;='الافتراضات'!$C$121),INDEX($C13:$BM13,1,W7-'الافتراضات'!$C$121+4)*'الافتراضات'!$D$121,0)</f>
        <v/>
      </c>
      <c r="X45" s="45">
        <f>IF(AND('الافتراضات'!$C$112=1,X7&gt;='الافتراضات'!$C$121),INDEX($C13:$BM13,1,X7-'الافتراضات'!$C$121+4)*'الافتراضات'!$D$121,0)</f>
        <v/>
      </c>
      <c r="Y45" s="45">
        <f>IF(AND('الافتراضات'!$C$112=1,Y7&gt;='الافتراضات'!$C$121),INDEX($C13:$BM13,1,Y7-'الافتراضات'!$C$121+4)*'الافتراضات'!$D$121,0)</f>
        <v/>
      </c>
      <c r="Z45" s="45">
        <f>IF(AND('الافتراضات'!$C$112=1,Z7&gt;='الافتراضات'!$C$121),INDEX($C13:$BM13,1,Z7-'الافتراضات'!$C$121+4)*'الافتراضات'!$D$121,0)</f>
        <v/>
      </c>
      <c r="AA45" s="45">
        <f>IF(AND('الافتراضات'!$C$112=1,AA7&gt;='الافتراضات'!$C$121),INDEX($C13:$BM13,1,AA7-'الافتراضات'!$C$121+4)*'الافتراضات'!$D$121,0)</f>
        <v/>
      </c>
      <c r="AB45" s="45">
        <f>IF(AND('الافتراضات'!$C$112=1,AB7&gt;='الافتراضات'!$C$121),INDEX($C13:$BM13,1,AB7-'الافتراضات'!$C$121+4)*'الافتراضات'!$D$121,0)</f>
        <v/>
      </c>
      <c r="AC45" s="45">
        <f>IF(AND('الافتراضات'!$C$112=1,AC7&gt;='الافتراضات'!$C$121),INDEX($C13:$BM13,1,AC7-'الافتراضات'!$C$121+4)*'الافتراضات'!$D$121,0)</f>
        <v/>
      </c>
      <c r="AD45" s="45">
        <f>IF(AND('الافتراضات'!$C$112=1,AD7&gt;='الافتراضات'!$C$121),INDEX($C13:$BM13,1,AD7-'الافتراضات'!$C$121+4)*'الافتراضات'!$D$121,0)</f>
        <v/>
      </c>
      <c r="AE45" s="45">
        <f>IF(AND('الافتراضات'!$C$112=1,AE7&gt;='الافتراضات'!$C$121),INDEX($C13:$BM13,1,AE7-'الافتراضات'!$C$121+4)*'الافتراضات'!$D$121,0)</f>
        <v/>
      </c>
      <c r="AF45" s="45">
        <f>IF(AND('الافتراضات'!$C$112=1,AF7&gt;='الافتراضات'!$C$121),INDEX($C13:$BM13,1,AF7-'الافتراضات'!$C$121+4)*'الافتراضات'!$D$121,0)</f>
        <v/>
      </c>
      <c r="AG45" s="45">
        <f>IF(AND('الافتراضات'!$C$112=1,AG7&gt;='الافتراضات'!$C$121),INDEX($C13:$BM13,1,AG7-'الافتراضات'!$C$121+4)*'الافتراضات'!$D$121,0)</f>
        <v/>
      </c>
      <c r="AH45" s="45">
        <f>IF(AND('الافتراضات'!$C$112=1,AH7&gt;='الافتراضات'!$C$121),INDEX($C13:$BM13,1,AH7-'الافتراضات'!$C$121+4)*'الافتراضات'!$D$121,0)</f>
        <v/>
      </c>
      <c r="AI45" s="45">
        <f>IF(AND('الافتراضات'!$C$112=1,AI7&gt;='الافتراضات'!$C$121),INDEX($C13:$BM13,1,AI7-'الافتراضات'!$C$121+4)*'الافتراضات'!$D$121,0)</f>
        <v/>
      </c>
      <c r="AJ45" s="45">
        <f>IF(AND('الافتراضات'!$C$112=1,AJ7&gt;='الافتراضات'!$C$121),INDEX($C13:$BM13,1,AJ7-'الافتراضات'!$C$121+4)*'الافتراضات'!$D$121,0)</f>
        <v/>
      </c>
      <c r="AK45" s="45">
        <f>IF(AND('الافتراضات'!$C$112=1,AK7&gt;='الافتراضات'!$C$121),INDEX($C13:$BM13,1,AK7-'الافتراضات'!$C$121+4)*'الافتراضات'!$D$121,0)</f>
        <v/>
      </c>
      <c r="AL45" s="45">
        <f>IF(AND('الافتراضات'!$C$112=1,AL7&gt;='الافتراضات'!$C$121),INDEX($C13:$BM13,1,AL7-'الافتراضات'!$C$121+4)*'الافتراضات'!$D$121,0)</f>
        <v/>
      </c>
      <c r="AM45" s="45">
        <f>IF(AND('الافتراضات'!$C$112=1,AM7&gt;='الافتراضات'!$C$121),INDEX($C13:$BM13,1,AM7-'الافتراضات'!$C$121+4)*'الافتراضات'!$D$121,0)</f>
        <v/>
      </c>
      <c r="AN45" s="45">
        <f>IF(AND('الافتراضات'!$C$112=1,AN7&gt;='الافتراضات'!$C$121),INDEX($C13:$BM13,1,AN7-'الافتراضات'!$C$121+4)*'الافتراضات'!$D$121,0)</f>
        <v/>
      </c>
      <c r="AO45" s="45">
        <f>IF(AND('الافتراضات'!$C$112=1,AO7&gt;='الافتراضات'!$C$121),INDEX($C13:$BM13,1,AO7-'الافتراضات'!$C$121+4)*'الافتراضات'!$D$121,0)</f>
        <v/>
      </c>
      <c r="AP45" s="45">
        <f>IF(AND('الافتراضات'!$C$112=1,AP7&gt;='الافتراضات'!$C$121),INDEX($C13:$BM13,1,AP7-'الافتراضات'!$C$121+4)*'الافتراضات'!$D$121,0)</f>
        <v/>
      </c>
      <c r="AQ45" s="45">
        <f>IF(AND('الافتراضات'!$C$112=1,AQ7&gt;='الافتراضات'!$C$121),INDEX($C13:$BM13,1,AQ7-'الافتراضات'!$C$121+4)*'الافتراضات'!$D$121,0)</f>
        <v/>
      </c>
      <c r="AR45" s="45">
        <f>IF(AND('الافتراضات'!$C$112=1,AR7&gt;='الافتراضات'!$C$121),INDEX($C13:$BM13,1,AR7-'الافتراضات'!$C$121+4)*'الافتراضات'!$D$121,0)</f>
        <v/>
      </c>
      <c r="AS45" s="45">
        <f>IF(AND('الافتراضات'!$C$112=1,AS7&gt;='الافتراضات'!$C$121),INDEX($C13:$BM13,1,AS7-'الافتراضات'!$C$121+4)*'الافتراضات'!$D$121,0)</f>
        <v/>
      </c>
      <c r="AT45" s="45">
        <f>IF(AND('الافتراضات'!$C$112=1,AT7&gt;='الافتراضات'!$C$121),INDEX($C13:$BM13,1,AT7-'الافتراضات'!$C$121+4)*'الافتراضات'!$D$121,0)</f>
        <v/>
      </c>
      <c r="AU45" s="45">
        <f>IF(AND('الافتراضات'!$C$112=1,AU7&gt;='الافتراضات'!$C$121),INDEX($C13:$BM13,1,AU7-'الافتراضات'!$C$121+4)*'الافتراضات'!$D$121,0)</f>
        <v/>
      </c>
      <c r="AV45" s="45">
        <f>IF(AND('الافتراضات'!$C$112=1,AV7&gt;='الافتراضات'!$C$121),INDEX($C13:$BM13,1,AV7-'الافتراضات'!$C$121+4)*'الافتراضات'!$D$121,0)</f>
        <v/>
      </c>
      <c r="AW45" s="45">
        <f>IF(AND('الافتراضات'!$C$112=1,AW7&gt;='الافتراضات'!$C$121),INDEX($C13:$BM13,1,AW7-'الافتراضات'!$C$121+4)*'الافتراضات'!$D$121,0)</f>
        <v/>
      </c>
      <c r="AX45" s="45">
        <f>IF(AND('الافتراضات'!$C$112=1,AX7&gt;='الافتراضات'!$C$121),INDEX($C13:$BM13,1,AX7-'الافتراضات'!$C$121+4)*'الافتراضات'!$D$121,0)</f>
        <v/>
      </c>
      <c r="AY45" s="45">
        <f>IF(AND('الافتراضات'!$C$112=1,AY7&gt;='الافتراضات'!$C$121),INDEX($C13:$BM13,1,AY7-'الافتراضات'!$C$121+4)*'الافتراضات'!$D$121,0)</f>
        <v/>
      </c>
      <c r="AZ45" s="45">
        <f>IF(AND('الافتراضات'!$C$112=1,AZ7&gt;='الافتراضات'!$C$121),INDEX($C13:$BM13,1,AZ7-'الافتراضات'!$C$121+4)*'الافتراضات'!$D$121,0)</f>
        <v/>
      </c>
      <c r="BA45" s="45">
        <f>IF(AND('الافتراضات'!$C$112=1,BA7&gt;='الافتراضات'!$C$121),INDEX($C13:$BM13,1,BA7-'الافتراضات'!$C$121+4)*'الافتراضات'!$D$121,0)</f>
        <v/>
      </c>
      <c r="BB45" s="45">
        <f>IF(AND('الافتراضات'!$C$112=1,BB7&gt;='الافتراضات'!$C$121),INDEX($C13:$BM13,1,BB7-'الافتراضات'!$C$121+4)*'الافتراضات'!$D$121,0)</f>
        <v/>
      </c>
      <c r="BC45" s="45">
        <f>IF(AND('الافتراضات'!$C$112=1,BC7&gt;='الافتراضات'!$C$121),INDEX($C13:$BM13,1,BC7-'الافتراضات'!$C$121+4)*'الافتراضات'!$D$121,0)</f>
        <v/>
      </c>
      <c r="BD45" s="45">
        <f>IF(AND('الافتراضات'!$C$112=1,BD7&gt;='الافتراضات'!$C$121),INDEX($C13:$BM13,1,BD7-'الافتراضات'!$C$121+4)*'الافتراضات'!$D$121,0)</f>
        <v/>
      </c>
      <c r="BE45" s="45">
        <f>IF(AND('الافتراضات'!$C$112=1,BE7&gt;='الافتراضات'!$C$121),INDEX($C13:$BM13,1,BE7-'الافتراضات'!$C$121+4)*'الافتراضات'!$D$121,0)</f>
        <v/>
      </c>
      <c r="BF45" s="45">
        <f>IF(AND('الافتراضات'!$C$112=1,BF7&gt;='الافتراضات'!$C$121),INDEX($C13:$BM13,1,BF7-'الافتراضات'!$C$121+4)*'الافتراضات'!$D$121,0)</f>
        <v/>
      </c>
      <c r="BG45" s="45">
        <f>IF(AND('الافتراضات'!$C$112=1,BG7&gt;='الافتراضات'!$C$121),INDEX($C13:$BM13,1,BG7-'الافتراضات'!$C$121+4)*'الافتراضات'!$D$121,0)</f>
        <v/>
      </c>
      <c r="BH45" s="45">
        <f>IF(AND('الافتراضات'!$C$112=1,BH7&gt;='الافتراضات'!$C$121),INDEX($C13:$BM13,1,BH7-'الافتراضات'!$C$121+4)*'الافتراضات'!$D$121,0)</f>
        <v/>
      </c>
      <c r="BI45" s="45">
        <f>IF(AND('الافتراضات'!$C$112=1,BI7&gt;='الافتراضات'!$C$121),INDEX($C13:$BM13,1,BI7-'الافتراضات'!$C$121+4)*'الافتراضات'!$D$121,0)</f>
        <v/>
      </c>
      <c r="BJ45" s="45">
        <f>IF(AND('الافتراضات'!$C$112=1,BJ7&gt;='الافتراضات'!$C$121),INDEX($C13:$BM13,1,BJ7-'الافتراضات'!$C$121+4)*'الافتراضات'!$D$121,0)</f>
        <v/>
      </c>
      <c r="BK45" s="45">
        <f>IF(AND('الافتراضات'!$C$112=1,BK7&gt;='الافتراضات'!$C$121),INDEX($C13:$BM13,1,BK7-'الافتراضات'!$C$121+4)*'الافتراضات'!$D$121,0)</f>
        <v/>
      </c>
      <c r="BL45" s="45">
        <f>IF(AND('الافتراضات'!$C$112=1,BL7&gt;='الافتراضات'!$C$121),INDEX($C13:$BM13,1,BL7-'الافتراضات'!$C$121+4)*'الافتراضات'!$D$121,0)</f>
        <v/>
      </c>
      <c r="BM45" s="45">
        <f>IF(AND('الافتراضات'!$C$112=1,BM7&gt;='الافتراضات'!$C$121),INDEX($C13:$BM13,1,BM7-'الافتراضات'!$C$121+4)*'الافتراضات'!$D$121,0)</f>
        <v/>
      </c>
    </row>
    <row r="46">
      <c r="A46" s="4" t="inlineStr">
        <is>
          <t>إنفاق الاستحواذ — (خانة احتياطية)</t>
        </is>
      </c>
      <c r="B46" s="22" t="inlineStr">
        <is>
          <t>ج.م</t>
        </is>
      </c>
      <c r="C46" s="45">
        <f>IF(AND('الافتراضات'!$C$112=1,C7&gt;='الافتراضات'!$C$122),INDEX($C13:$BM13,1,C7-'الافتراضات'!$C$122+4)*'الافتراضات'!$D$122,0)</f>
        <v/>
      </c>
      <c r="D46" s="45">
        <f>IF(AND('الافتراضات'!$C$112=1,D7&gt;='الافتراضات'!$C$122),INDEX($C13:$BM13,1,D7-'الافتراضات'!$C$122+4)*'الافتراضات'!$D$122,0)</f>
        <v/>
      </c>
      <c r="E46" s="45">
        <f>IF(AND('الافتراضات'!$C$112=1,E7&gt;='الافتراضات'!$C$122),INDEX($C13:$BM13,1,E7-'الافتراضات'!$C$122+4)*'الافتراضات'!$D$122,0)</f>
        <v/>
      </c>
      <c r="F46" s="45">
        <f>IF(AND('الافتراضات'!$C$112=1,F7&gt;='الافتراضات'!$C$122),INDEX($C13:$BM13,1,F7-'الافتراضات'!$C$122+4)*'الافتراضات'!$D$122,0)</f>
        <v/>
      </c>
      <c r="G46" s="45">
        <f>IF(AND('الافتراضات'!$C$112=1,G7&gt;='الافتراضات'!$C$122),INDEX($C13:$BM13,1,G7-'الافتراضات'!$C$122+4)*'الافتراضات'!$D$122,0)</f>
        <v/>
      </c>
      <c r="H46" s="45">
        <f>IF(AND('الافتراضات'!$C$112=1,H7&gt;='الافتراضات'!$C$122),INDEX($C13:$BM13,1,H7-'الافتراضات'!$C$122+4)*'الافتراضات'!$D$122,0)</f>
        <v/>
      </c>
      <c r="I46" s="45">
        <f>IF(AND('الافتراضات'!$C$112=1,I7&gt;='الافتراضات'!$C$122),INDEX($C13:$BM13,1,I7-'الافتراضات'!$C$122+4)*'الافتراضات'!$D$122,0)</f>
        <v/>
      </c>
      <c r="J46" s="45">
        <f>IF(AND('الافتراضات'!$C$112=1,J7&gt;='الافتراضات'!$C$122),INDEX($C13:$BM13,1,J7-'الافتراضات'!$C$122+4)*'الافتراضات'!$D$122,0)</f>
        <v/>
      </c>
      <c r="K46" s="45">
        <f>IF(AND('الافتراضات'!$C$112=1,K7&gt;='الافتراضات'!$C$122),INDEX($C13:$BM13,1,K7-'الافتراضات'!$C$122+4)*'الافتراضات'!$D$122,0)</f>
        <v/>
      </c>
      <c r="L46" s="45">
        <f>IF(AND('الافتراضات'!$C$112=1,L7&gt;='الافتراضات'!$C$122),INDEX($C13:$BM13,1,L7-'الافتراضات'!$C$122+4)*'الافتراضات'!$D$122,0)</f>
        <v/>
      </c>
      <c r="M46" s="45">
        <f>IF(AND('الافتراضات'!$C$112=1,M7&gt;='الافتراضات'!$C$122),INDEX($C13:$BM13,1,M7-'الافتراضات'!$C$122+4)*'الافتراضات'!$D$122,0)</f>
        <v/>
      </c>
      <c r="N46" s="45">
        <f>IF(AND('الافتراضات'!$C$112=1,N7&gt;='الافتراضات'!$C$122),INDEX($C13:$BM13,1,N7-'الافتراضات'!$C$122+4)*'الافتراضات'!$D$122,0)</f>
        <v/>
      </c>
      <c r="O46" s="45">
        <f>IF(AND('الافتراضات'!$C$112=1,O7&gt;='الافتراضات'!$C$122),INDEX($C13:$BM13,1,O7-'الافتراضات'!$C$122+4)*'الافتراضات'!$D$122,0)</f>
        <v/>
      </c>
      <c r="P46" s="45">
        <f>IF(AND('الافتراضات'!$C$112=1,P7&gt;='الافتراضات'!$C$122),INDEX($C13:$BM13,1,P7-'الافتراضات'!$C$122+4)*'الافتراضات'!$D$122,0)</f>
        <v/>
      </c>
      <c r="Q46" s="45">
        <f>IF(AND('الافتراضات'!$C$112=1,Q7&gt;='الافتراضات'!$C$122),INDEX($C13:$BM13,1,Q7-'الافتراضات'!$C$122+4)*'الافتراضات'!$D$122,0)</f>
        <v/>
      </c>
      <c r="R46" s="45">
        <f>IF(AND('الافتراضات'!$C$112=1,R7&gt;='الافتراضات'!$C$122),INDEX($C13:$BM13,1,R7-'الافتراضات'!$C$122+4)*'الافتراضات'!$D$122,0)</f>
        <v/>
      </c>
      <c r="S46" s="45">
        <f>IF(AND('الافتراضات'!$C$112=1,S7&gt;='الافتراضات'!$C$122),INDEX($C13:$BM13,1,S7-'الافتراضات'!$C$122+4)*'الافتراضات'!$D$122,0)</f>
        <v/>
      </c>
      <c r="T46" s="45">
        <f>IF(AND('الافتراضات'!$C$112=1,T7&gt;='الافتراضات'!$C$122),INDEX($C13:$BM13,1,T7-'الافتراضات'!$C$122+4)*'الافتراضات'!$D$122,0)</f>
        <v/>
      </c>
      <c r="U46" s="45">
        <f>IF(AND('الافتراضات'!$C$112=1,U7&gt;='الافتراضات'!$C$122),INDEX($C13:$BM13,1,U7-'الافتراضات'!$C$122+4)*'الافتراضات'!$D$122,0)</f>
        <v/>
      </c>
      <c r="V46" s="45">
        <f>IF(AND('الافتراضات'!$C$112=1,V7&gt;='الافتراضات'!$C$122),INDEX($C13:$BM13,1,V7-'الافتراضات'!$C$122+4)*'الافتراضات'!$D$122,0)</f>
        <v/>
      </c>
      <c r="W46" s="45">
        <f>IF(AND('الافتراضات'!$C$112=1,W7&gt;='الافتراضات'!$C$122),INDEX($C13:$BM13,1,W7-'الافتراضات'!$C$122+4)*'الافتراضات'!$D$122,0)</f>
        <v/>
      </c>
      <c r="X46" s="45">
        <f>IF(AND('الافتراضات'!$C$112=1,X7&gt;='الافتراضات'!$C$122),INDEX($C13:$BM13,1,X7-'الافتراضات'!$C$122+4)*'الافتراضات'!$D$122,0)</f>
        <v/>
      </c>
      <c r="Y46" s="45">
        <f>IF(AND('الافتراضات'!$C$112=1,Y7&gt;='الافتراضات'!$C$122),INDEX($C13:$BM13,1,Y7-'الافتراضات'!$C$122+4)*'الافتراضات'!$D$122,0)</f>
        <v/>
      </c>
      <c r="Z46" s="45">
        <f>IF(AND('الافتراضات'!$C$112=1,Z7&gt;='الافتراضات'!$C$122),INDEX($C13:$BM13,1,Z7-'الافتراضات'!$C$122+4)*'الافتراضات'!$D$122,0)</f>
        <v/>
      </c>
      <c r="AA46" s="45">
        <f>IF(AND('الافتراضات'!$C$112=1,AA7&gt;='الافتراضات'!$C$122),INDEX($C13:$BM13,1,AA7-'الافتراضات'!$C$122+4)*'الافتراضات'!$D$122,0)</f>
        <v/>
      </c>
      <c r="AB46" s="45">
        <f>IF(AND('الافتراضات'!$C$112=1,AB7&gt;='الافتراضات'!$C$122),INDEX($C13:$BM13,1,AB7-'الافتراضات'!$C$122+4)*'الافتراضات'!$D$122,0)</f>
        <v/>
      </c>
      <c r="AC46" s="45">
        <f>IF(AND('الافتراضات'!$C$112=1,AC7&gt;='الافتراضات'!$C$122),INDEX($C13:$BM13,1,AC7-'الافتراضات'!$C$122+4)*'الافتراضات'!$D$122,0)</f>
        <v/>
      </c>
      <c r="AD46" s="45">
        <f>IF(AND('الافتراضات'!$C$112=1,AD7&gt;='الافتراضات'!$C$122),INDEX($C13:$BM13,1,AD7-'الافتراضات'!$C$122+4)*'الافتراضات'!$D$122,0)</f>
        <v/>
      </c>
      <c r="AE46" s="45">
        <f>IF(AND('الافتراضات'!$C$112=1,AE7&gt;='الافتراضات'!$C$122),INDEX($C13:$BM13,1,AE7-'الافتراضات'!$C$122+4)*'الافتراضات'!$D$122,0)</f>
        <v/>
      </c>
      <c r="AF46" s="45">
        <f>IF(AND('الافتراضات'!$C$112=1,AF7&gt;='الافتراضات'!$C$122),INDEX($C13:$BM13,1,AF7-'الافتراضات'!$C$122+4)*'الافتراضات'!$D$122,0)</f>
        <v/>
      </c>
      <c r="AG46" s="45">
        <f>IF(AND('الافتراضات'!$C$112=1,AG7&gt;='الافتراضات'!$C$122),INDEX($C13:$BM13,1,AG7-'الافتراضات'!$C$122+4)*'الافتراضات'!$D$122,0)</f>
        <v/>
      </c>
      <c r="AH46" s="45">
        <f>IF(AND('الافتراضات'!$C$112=1,AH7&gt;='الافتراضات'!$C$122),INDEX($C13:$BM13,1,AH7-'الافتراضات'!$C$122+4)*'الافتراضات'!$D$122,0)</f>
        <v/>
      </c>
      <c r="AI46" s="45">
        <f>IF(AND('الافتراضات'!$C$112=1,AI7&gt;='الافتراضات'!$C$122),INDEX($C13:$BM13,1,AI7-'الافتراضات'!$C$122+4)*'الافتراضات'!$D$122,0)</f>
        <v/>
      </c>
      <c r="AJ46" s="45">
        <f>IF(AND('الافتراضات'!$C$112=1,AJ7&gt;='الافتراضات'!$C$122),INDEX($C13:$BM13,1,AJ7-'الافتراضات'!$C$122+4)*'الافتراضات'!$D$122,0)</f>
        <v/>
      </c>
      <c r="AK46" s="45">
        <f>IF(AND('الافتراضات'!$C$112=1,AK7&gt;='الافتراضات'!$C$122),INDEX($C13:$BM13,1,AK7-'الافتراضات'!$C$122+4)*'الافتراضات'!$D$122,0)</f>
        <v/>
      </c>
      <c r="AL46" s="45">
        <f>IF(AND('الافتراضات'!$C$112=1,AL7&gt;='الافتراضات'!$C$122),INDEX($C13:$BM13,1,AL7-'الافتراضات'!$C$122+4)*'الافتراضات'!$D$122,0)</f>
        <v/>
      </c>
      <c r="AM46" s="45">
        <f>IF(AND('الافتراضات'!$C$112=1,AM7&gt;='الافتراضات'!$C$122),INDEX($C13:$BM13,1,AM7-'الافتراضات'!$C$122+4)*'الافتراضات'!$D$122,0)</f>
        <v/>
      </c>
      <c r="AN46" s="45">
        <f>IF(AND('الافتراضات'!$C$112=1,AN7&gt;='الافتراضات'!$C$122),INDEX($C13:$BM13,1,AN7-'الافتراضات'!$C$122+4)*'الافتراضات'!$D$122,0)</f>
        <v/>
      </c>
      <c r="AO46" s="45">
        <f>IF(AND('الافتراضات'!$C$112=1,AO7&gt;='الافتراضات'!$C$122),INDEX($C13:$BM13,1,AO7-'الافتراضات'!$C$122+4)*'الافتراضات'!$D$122,0)</f>
        <v/>
      </c>
      <c r="AP46" s="45">
        <f>IF(AND('الافتراضات'!$C$112=1,AP7&gt;='الافتراضات'!$C$122),INDEX($C13:$BM13,1,AP7-'الافتراضات'!$C$122+4)*'الافتراضات'!$D$122,0)</f>
        <v/>
      </c>
      <c r="AQ46" s="45">
        <f>IF(AND('الافتراضات'!$C$112=1,AQ7&gt;='الافتراضات'!$C$122),INDEX($C13:$BM13,1,AQ7-'الافتراضات'!$C$122+4)*'الافتراضات'!$D$122,0)</f>
        <v/>
      </c>
      <c r="AR46" s="45">
        <f>IF(AND('الافتراضات'!$C$112=1,AR7&gt;='الافتراضات'!$C$122),INDEX($C13:$BM13,1,AR7-'الافتراضات'!$C$122+4)*'الافتراضات'!$D$122,0)</f>
        <v/>
      </c>
      <c r="AS46" s="45">
        <f>IF(AND('الافتراضات'!$C$112=1,AS7&gt;='الافتراضات'!$C$122),INDEX($C13:$BM13,1,AS7-'الافتراضات'!$C$122+4)*'الافتراضات'!$D$122,0)</f>
        <v/>
      </c>
      <c r="AT46" s="45">
        <f>IF(AND('الافتراضات'!$C$112=1,AT7&gt;='الافتراضات'!$C$122),INDEX($C13:$BM13,1,AT7-'الافتراضات'!$C$122+4)*'الافتراضات'!$D$122,0)</f>
        <v/>
      </c>
      <c r="AU46" s="45">
        <f>IF(AND('الافتراضات'!$C$112=1,AU7&gt;='الافتراضات'!$C$122),INDEX($C13:$BM13,1,AU7-'الافتراضات'!$C$122+4)*'الافتراضات'!$D$122,0)</f>
        <v/>
      </c>
      <c r="AV46" s="45">
        <f>IF(AND('الافتراضات'!$C$112=1,AV7&gt;='الافتراضات'!$C$122),INDEX($C13:$BM13,1,AV7-'الافتراضات'!$C$122+4)*'الافتراضات'!$D$122,0)</f>
        <v/>
      </c>
      <c r="AW46" s="45">
        <f>IF(AND('الافتراضات'!$C$112=1,AW7&gt;='الافتراضات'!$C$122),INDEX($C13:$BM13,1,AW7-'الافتراضات'!$C$122+4)*'الافتراضات'!$D$122,0)</f>
        <v/>
      </c>
      <c r="AX46" s="45">
        <f>IF(AND('الافتراضات'!$C$112=1,AX7&gt;='الافتراضات'!$C$122),INDEX($C13:$BM13,1,AX7-'الافتراضات'!$C$122+4)*'الافتراضات'!$D$122,0)</f>
        <v/>
      </c>
      <c r="AY46" s="45">
        <f>IF(AND('الافتراضات'!$C$112=1,AY7&gt;='الافتراضات'!$C$122),INDEX($C13:$BM13,1,AY7-'الافتراضات'!$C$122+4)*'الافتراضات'!$D$122,0)</f>
        <v/>
      </c>
      <c r="AZ46" s="45">
        <f>IF(AND('الافتراضات'!$C$112=1,AZ7&gt;='الافتراضات'!$C$122),INDEX($C13:$BM13,1,AZ7-'الافتراضات'!$C$122+4)*'الافتراضات'!$D$122,0)</f>
        <v/>
      </c>
      <c r="BA46" s="45">
        <f>IF(AND('الافتراضات'!$C$112=1,BA7&gt;='الافتراضات'!$C$122),INDEX($C13:$BM13,1,BA7-'الافتراضات'!$C$122+4)*'الافتراضات'!$D$122,0)</f>
        <v/>
      </c>
      <c r="BB46" s="45">
        <f>IF(AND('الافتراضات'!$C$112=1,BB7&gt;='الافتراضات'!$C$122),INDEX($C13:$BM13,1,BB7-'الافتراضات'!$C$122+4)*'الافتراضات'!$D$122,0)</f>
        <v/>
      </c>
      <c r="BC46" s="45">
        <f>IF(AND('الافتراضات'!$C$112=1,BC7&gt;='الافتراضات'!$C$122),INDEX($C13:$BM13,1,BC7-'الافتراضات'!$C$122+4)*'الافتراضات'!$D$122,0)</f>
        <v/>
      </c>
      <c r="BD46" s="45">
        <f>IF(AND('الافتراضات'!$C$112=1,BD7&gt;='الافتراضات'!$C$122),INDEX($C13:$BM13,1,BD7-'الافتراضات'!$C$122+4)*'الافتراضات'!$D$122,0)</f>
        <v/>
      </c>
      <c r="BE46" s="45">
        <f>IF(AND('الافتراضات'!$C$112=1,BE7&gt;='الافتراضات'!$C$122),INDEX($C13:$BM13,1,BE7-'الافتراضات'!$C$122+4)*'الافتراضات'!$D$122,0)</f>
        <v/>
      </c>
      <c r="BF46" s="45">
        <f>IF(AND('الافتراضات'!$C$112=1,BF7&gt;='الافتراضات'!$C$122),INDEX($C13:$BM13,1,BF7-'الافتراضات'!$C$122+4)*'الافتراضات'!$D$122,0)</f>
        <v/>
      </c>
      <c r="BG46" s="45">
        <f>IF(AND('الافتراضات'!$C$112=1,BG7&gt;='الافتراضات'!$C$122),INDEX($C13:$BM13,1,BG7-'الافتراضات'!$C$122+4)*'الافتراضات'!$D$122,0)</f>
        <v/>
      </c>
      <c r="BH46" s="45">
        <f>IF(AND('الافتراضات'!$C$112=1,BH7&gt;='الافتراضات'!$C$122),INDEX($C13:$BM13,1,BH7-'الافتراضات'!$C$122+4)*'الافتراضات'!$D$122,0)</f>
        <v/>
      </c>
      <c r="BI46" s="45">
        <f>IF(AND('الافتراضات'!$C$112=1,BI7&gt;='الافتراضات'!$C$122),INDEX($C13:$BM13,1,BI7-'الافتراضات'!$C$122+4)*'الافتراضات'!$D$122,0)</f>
        <v/>
      </c>
      <c r="BJ46" s="45">
        <f>IF(AND('الافتراضات'!$C$112=1,BJ7&gt;='الافتراضات'!$C$122),INDEX($C13:$BM13,1,BJ7-'الافتراضات'!$C$122+4)*'الافتراضات'!$D$122,0)</f>
        <v/>
      </c>
      <c r="BK46" s="45">
        <f>IF(AND('الافتراضات'!$C$112=1,BK7&gt;='الافتراضات'!$C$122),INDEX($C13:$BM13,1,BK7-'الافتراضات'!$C$122+4)*'الافتراضات'!$D$122,0)</f>
        <v/>
      </c>
      <c r="BL46" s="45">
        <f>IF(AND('الافتراضات'!$C$112=1,BL7&gt;='الافتراضات'!$C$122),INDEX($C13:$BM13,1,BL7-'الافتراضات'!$C$122+4)*'الافتراضات'!$D$122,0)</f>
        <v/>
      </c>
      <c r="BM46" s="45">
        <f>IF(AND('الافتراضات'!$C$112=1,BM7&gt;='الافتراضات'!$C$122),INDEX($C13:$BM13,1,BM7-'الافتراضات'!$C$122+4)*'الافتراضات'!$D$122,0)</f>
        <v/>
      </c>
    </row>
    <row r="47">
      <c r="A47" s="4" t="inlineStr">
        <is>
          <t>مراكز التوسع العاملة</t>
        </is>
      </c>
      <c r="B47" s="22" t="inlineStr">
        <is>
          <t>#</t>
        </is>
      </c>
      <c r="C47" s="43">
        <f>IF(AND('الافتراضات'!$C$112=1,'الافتراضات'!$D$117&gt;0,C7&gt;='الافتراضات'!$C$117),1,0)+IF(AND('الافتراضات'!$C$112=1,'الافتراضات'!$D$118&gt;0,C7&gt;='الافتراضات'!$C$118),1,0)+IF(AND('الافتراضات'!$C$112=1,'الافتراضات'!$D$119&gt;0,C7&gt;='الافتراضات'!$C$119),1,0)+IF(AND('الافتراضات'!$C$112=1,'الافتراضات'!$D$120&gt;0,C7&gt;='الافتراضات'!$C$120),1,0)+IF(AND('الافتراضات'!$C$112=1,'الافتراضات'!$D$121&gt;0,C7&gt;='الافتراضات'!$C$121),1,0)+IF(AND('الافتراضات'!$C$112=1,'الافتراضات'!$D$122&gt;0,C7&gt;='الافتراضات'!$C$122),1,0)</f>
        <v/>
      </c>
      <c r="D47" s="43">
        <f>IF(AND('الافتراضات'!$C$112=1,'الافتراضات'!$D$117&gt;0,D7&gt;='الافتراضات'!$C$117),1,0)+IF(AND('الافتراضات'!$C$112=1,'الافتراضات'!$D$118&gt;0,D7&gt;='الافتراضات'!$C$118),1,0)+IF(AND('الافتراضات'!$C$112=1,'الافتراضات'!$D$119&gt;0,D7&gt;='الافتراضات'!$C$119),1,0)+IF(AND('الافتراضات'!$C$112=1,'الافتراضات'!$D$120&gt;0,D7&gt;='الافتراضات'!$C$120),1,0)+IF(AND('الافتراضات'!$C$112=1,'الافتراضات'!$D$121&gt;0,D7&gt;='الافتراضات'!$C$121),1,0)+IF(AND('الافتراضات'!$C$112=1,'الافتراضات'!$D$122&gt;0,D7&gt;='الافتراضات'!$C$122),1,0)</f>
        <v/>
      </c>
      <c r="E47" s="43">
        <f>IF(AND('الافتراضات'!$C$112=1,'الافتراضات'!$D$117&gt;0,E7&gt;='الافتراضات'!$C$117),1,0)+IF(AND('الافتراضات'!$C$112=1,'الافتراضات'!$D$118&gt;0,E7&gt;='الافتراضات'!$C$118),1,0)+IF(AND('الافتراضات'!$C$112=1,'الافتراضات'!$D$119&gt;0,E7&gt;='الافتراضات'!$C$119),1,0)+IF(AND('الافتراضات'!$C$112=1,'الافتراضات'!$D$120&gt;0,E7&gt;='الافتراضات'!$C$120),1,0)+IF(AND('الافتراضات'!$C$112=1,'الافتراضات'!$D$121&gt;0,E7&gt;='الافتراضات'!$C$121),1,0)+IF(AND('الافتراضات'!$C$112=1,'الافتراضات'!$D$122&gt;0,E7&gt;='الافتراضات'!$C$122),1,0)</f>
        <v/>
      </c>
      <c r="F47" s="43">
        <f>IF(AND('الافتراضات'!$C$112=1,'الافتراضات'!$D$117&gt;0,F7&gt;='الافتراضات'!$C$117),1,0)+IF(AND('الافتراضات'!$C$112=1,'الافتراضات'!$D$118&gt;0,F7&gt;='الافتراضات'!$C$118),1,0)+IF(AND('الافتراضات'!$C$112=1,'الافتراضات'!$D$119&gt;0,F7&gt;='الافتراضات'!$C$119),1,0)+IF(AND('الافتراضات'!$C$112=1,'الافتراضات'!$D$120&gt;0,F7&gt;='الافتراضات'!$C$120),1,0)+IF(AND('الافتراضات'!$C$112=1,'الافتراضات'!$D$121&gt;0,F7&gt;='الافتراضات'!$C$121),1,0)+IF(AND('الافتراضات'!$C$112=1,'الافتراضات'!$D$122&gt;0,F7&gt;='الافتراضات'!$C$122),1,0)</f>
        <v/>
      </c>
      <c r="G47" s="43">
        <f>IF(AND('الافتراضات'!$C$112=1,'الافتراضات'!$D$117&gt;0,G7&gt;='الافتراضات'!$C$117),1,0)+IF(AND('الافتراضات'!$C$112=1,'الافتراضات'!$D$118&gt;0,G7&gt;='الافتراضات'!$C$118),1,0)+IF(AND('الافتراضات'!$C$112=1,'الافتراضات'!$D$119&gt;0,G7&gt;='الافتراضات'!$C$119),1,0)+IF(AND('الافتراضات'!$C$112=1,'الافتراضات'!$D$120&gt;0,G7&gt;='الافتراضات'!$C$120),1,0)+IF(AND('الافتراضات'!$C$112=1,'الافتراضات'!$D$121&gt;0,G7&gt;='الافتراضات'!$C$121),1,0)+IF(AND('الافتراضات'!$C$112=1,'الافتراضات'!$D$122&gt;0,G7&gt;='الافتراضات'!$C$122),1,0)</f>
        <v/>
      </c>
      <c r="H47" s="43">
        <f>IF(AND('الافتراضات'!$C$112=1,'الافتراضات'!$D$117&gt;0,H7&gt;='الافتراضات'!$C$117),1,0)+IF(AND('الافتراضات'!$C$112=1,'الافتراضات'!$D$118&gt;0,H7&gt;='الافتراضات'!$C$118),1,0)+IF(AND('الافتراضات'!$C$112=1,'الافتراضات'!$D$119&gt;0,H7&gt;='الافتراضات'!$C$119),1,0)+IF(AND('الافتراضات'!$C$112=1,'الافتراضات'!$D$120&gt;0,H7&gt;='الافتراضات'!$C$120),1,0)+IF(AND('الافتراضات'!$C$112=1,'الافتراضات'!$D$121&gt;0,H7&gt;='الافتراضات'!$C$121),1,0)+IF(AND('الافتراضات'!$C$112=1,'الافتراضات'!$D$122&gt;0,H7&gt;='الافتراضات'!$C$122),1,0)</f>
        <v/>
      </c>
      <c r="I47" s="43">
        <f>IF(AND('الافتراضات'!$C$112=1,'الافتراضات'!$D$117&gt;0,I7&gt;='الافتراضات'!$C$117),1,0)+IF(AND('الافتراضات'!$C$112=1,'الافتراضات'!$D$118&gt;0,I7&gt;='الافتراضات'!$C$118),1,0)+IF(AND('الافتراضات'!$C$112=1,'الافتراضات'!$D$119&gt;0,I7&gt;='الافتراضات'!$C$119),1,0)+IF(AND('الافتراضات'!$C$112=1,'الافتراضات'!$D$120&gt;0,I7&gt;='الافتراضات'!$C$120),1,0)+IF(AND('الافتراضات'!$C$112=1,'الافتراضات'!$D$121&gt;0,I7&gt;='الافتراضات'!$C$121),1,0)+IF(AND('الافتراضات'!$C$112=1,'الافتراضات'!$D$122&gt;0,I7&gt;='الافتراضات'!$C$122),1,0)</f>
        <v/>
      </c>
      <c r="J47" s="43">
        <f>IF(AND('الافتراضات'!$C$112=1,'الافتراضات'!$D$117&gt;0,J7&gt;='الافتراضات'!$C$117),1,0)+IF(AND('الافتراضات'!$C$112=1,'الافتراضات'!$D$118&gt;0,J7&gt;='الافتراضات'!$C$118),1,0)+IF(AND('الافتراضات'!$C$112=1,'الافتراضات'!$D$119&gt;0,J7&gt;='الافتراضات'!$C$119),1,0)+IF(AND('الافتراضات'!$C$112=1,'الافتراضات'!$D$120&gt;0,J7&gt;='الافتراضات'!$C$120),1,0)+IF(AND('الافتراضات'!$C$112=1,'الافتراضات'!$D$121&gt;0,J7&gt;='الافتراضات'!$C$121),1,0)+IF(AND('الافتراضات'!$C$112=1,'الافتراضات'!$D$122&gt;0,J7&gt;='الافتراضات'!$C$122),1,0)</f>
        <v/>
      </c>
      <c r="K47" s="43">
        <f>IF(AND('الافتراضات'!$C$112=1,'الافتراضات'!$D$117&gt;0,K7&gt;='الافتراضات'!$C$117),1,0)+IF(AND('الافتراضات'!$C$112=1,'الافتراضات'!$D$118&gt;0,K7&gt;='الافتراضات'!$C$118),1,0)+IF(AND('الافتراضات'!$C$112=1,'الافتراضات'!$D$119&gt;0,K7&gt;='الافتراضات'!$C$119),1,0)+IF(AND('الافتراضات'!$C$112=1,'الافتراضات'!$D$120&gt;0,K7&gt;='الافتراضات'!$C$120),1,0)+IF(AND('الافتراضات'!$C$112=1,'الافتراضات'!$D$121&gt;0,K7&gt;='الافتراضات'!$C$121),1,0)+IF(AND('الافتراضات'!$C$112=1,'الافتراضات'!$D$122&gt;0,K7&gt;='الافتراضات'!$C$122),1,0)</f>
        <v/>
      </c>
      <c r="L47" s="43">
        <f>IF(AND('الافتراضات'!$C$112=1,'الافتراضات'!$D$117&gt;0,L7&gt;='الافتراضات'!$C$117),1,0)+IF(AND('الافتراضات'!$C$112=1,'الافتراضات'!$D$118&gt;0,L7&gt;='الافتراضات'!$C$118),1,0)+IF(AND('الافتراضات'!$C$112=1,'الافتراضات'!$D$119&gt;0,L7&gt;='الافتراضات'!$C$119),1,0)+IF(AND('الافتراضات'!$C$112=1,'الافتراضات'!$D$120&gt;0,L7&gt;='الافتراضات'!$C$120),1,0)+IF(AND('الافتراضات'!$C$112=1,'الافتراضات'!$D$121&gt;0,L7&gt;='الافتراضات'!$C$121),1,0)+IF(AND('الافتراضات'!$C$112=1,'الافتراضات'!$D$122&gt;0,L7&gt;='الافتراضات'!$C$122),1,0)</f>
        <v/>
      </c>
      <c r="M47" s="43">
        <f>IF(AND('الافتراضات'!$C$112=1,'الافتراضات'!$D$117&gt;0,M7&gt;='الافتراضات'!$C$117),1,0)+IF(AND('الافتراضات'!$C$112=1,'الافتراضات'!$D$118&gt;0,M7&gt;='الافتراضات'!$C$118),1,0)+IF(AND('الافتراضات'!$C$112=1,'الافتراضات'!$D$119&gt;0,M7&gt;='الافتراضات'!$C$119),1,0)+IF(AND('الافتراضات'!$C$112=1,'الافتراضات'!$D$120&gt;0,M7&gt;='الافتراضات'!$C$120),1,0)+IF(AND('الافتراضات'!$C$112=1,'الافتراضات'!$D$121&gt;0,M7&gt;='الافتراضات'!$C$121),1,0)+IF(AND('الافتراضات'!$C$112=1,'الافتراضات'!$D$122&gt;0,M7&gt;='الافتراضات'!$C$122),1,0)</f>
        <v/>
      </c>
      <c r="N47" s="43">
        <f>IF(AND('الافتراضات'!$C$112=1,'الافتراضات'!$D$117&gt;0,N7&gt;='الافتراضات'!$C$117),1,0)+IF(AND('الافتراضات'!$C$112=1,'الافتراضات'!$D$118&gt;0,N7&gt;='الافتراضات'!$C$118),1,0)+IF(AND('الافتراضات'!$C$112=1,'الافتراضات'!$D$119&gt;0,N7&gt;='الافتراضات'!$C$119),1,0)+IF(AND('الافتراضات'!$C$112=1,'الافتراضات'!$D$120&gt;0,N7&gt;='الافتراضات'!$C$120),1,0)+IF(AND('الافتراضات'!$C$112=1,'الافتراضات'!$D$121&gt;0,N7&gt;='الافتراضات'!$C$121),1,0)+IF(AND('الافتراضات'!$C$112=1,'الافتراضات'!$D$122&gt;0,N7&gt;='الافتراضات'!$C$122),1,0)</f>
        <v/>
      </c>
      <c r="O47" s="43">
        <f>IF(AND('الافتراضات'!$C$112=1,'الافتراضات'!$D$117&gt;0,O7&gt;='الافتراضات'!$C$117),1,0)+IF(AND('الافتراضات'!$C$112=1,'الافتراضات'!$D$118&gt;0,O7&gt;='الافتراضات'!$C$118),1,0)+IF(AND('الافتراضات'!$C$112=1,'الافتراضات'!$D$119&gt;0,O7&gt;='الافتراضات'!$C$119),1,0)+IF(AND('الافتراضات'!$C$112=1,'الافتراضات'!$D$120&gt;0,O7&gt;='الافتراضات'!$C$120),1,0)+IF(AND('الافتراضات'!$C$112=1,'الافتراضات'!$D$121&gt;0,O7&gt;='الافتراضات'!$C$121),1,0)+IF(AND('الافتراضات'!$C$112=1,'الافتراضات'!$D$122&gt;0,O7&gt;='الافتراضات'!$C$122),1,0)</f>
        <v/>
      </c>
      <c r="P47" s="43">
        <f>IF(AND('الافتراضات'!$C$112=1,'الافتراضات'!$D$117&gt;0,P7&gt;='الافتراضات'!$C$117),1,0)+IF(AND('الافتراضات'!$C$112=1,'الافتراضات'!$D$118&gt;0,P7&gt;='الافتراضات'!$C$118),1,0)+IF(AND('الافتراضات'!$C$112=1,'الافتراضات'!$D$119&gt;0,P7&gt;='الافتراضات'!$C$119),1,0)+IF(AND('الافتراضات'!$C$112=1,'الافتراضات'!$D$120&gt;0,P7&gt;='الافتراضات'!$C$120),1,0)+IF(AND('الافتراضات'!$C$112=1,'الافتراضات'!$D$121&gt;0,P7&gt;='الافتراضات'!$C$121),1,0)+IF(AND('الافتراضات'!$C$112=1,'الافتراضات'!$D$122&gt;0,P7&gt;='الافتراضات'!$C$122),1,0)</f>
        <v/>
      </c>
      <c r="Q47" s="43">
        <f>IF(AND('الافتراضات'!$C$112=1,'الافتراضات'!$D$117&gt;0,Q7&gt;='الافتراضات'!$C$117),1,0)+IF(AND('الافتراضات'!$C$112=1,'الافتراضات'!$D$118&gt;0,Q7&gt;='الافتراضات'!$C$118),1,0)+IF(AND('الافتراضات'!$C$112=1,'الافتراضات'!$D$119&gt;0,Q7&gt;='الافتراضات'!$C$119),1,0)+IF(AND('الافتراضات'!$C$112=1,'الافتراضات'!$D$120&gt;0,Q7&gt;='الافتراضات'!$C$120),1,0)+IF(AND('الافتراضات'!$C$112=1,'الافتراضات'!$D$121&gt;0,Q7&gt;='الافتراضات'!$C$121),1,0)+IF(AND('الافتراضات'!$C$112=1,'الافتراضات'!$D$122&gt;0,Q7&gt;='الافتراضات'!$C$122),1,0)</f>
        <v/>
      </c>
      <c r="R47" s="43">
        <f>IF(AND('الافتراضات'!$C$112=1,'الافتراضات'!$D$117&gt;0,R7&gt;='الافتراضات'!$C$117),1,0)+IF(AND('الافتراضات'!$C$112=1,'الافتراضات'!$D$118&gt;0,R7&gt;='الافتراضات'!$C$118),1,0)+IF(AND('الافتراضات'!$C$112=1,'الافتراضات'!$D$119&gt;0,R7&gt;='الافتراضات'!$C$119),1,0)+IF(AND('الافتراضات'!$C$112=1,'الافتراضات'!$D$120&gt;0,R7&gt;='الافتراضات'!$C$120),1,0)+IF(AND('الافتراضات'!$C$112=1,'الافتراضات'!$D$121&gt;0,R7&gt;='الافتراضات'!$C$121),1,0)+IF(AND('الافتراضات'!$C$112=1,'الافتراضات'!$D$122&gt;0,R7&gt;='الافتراضات'!$C$122),1,0)</f>
        <v/>
      </c>
      <c r="S47" s="43">
        <f>IF(AND('الافتراضات'!$C$112=1,'الافتراضات'!$D$117&gt;0,S7&gt;='الافتراضات'!$C$117),1,0)+IF(AND('الافتراضات'!$C$112=1,'الافتراضات'!$D$118&gt;0,S7&gt;='الافتراضات'!$C$118),1,0)+IF(AND('الافتراضات'!$C$112=1,'الافتراضات'!$D$119&gt;0,S7&gt;='الافتراضات'!$C$119),1,0)+IF(AND('الافتراضات'!$C$112=1,'الافتراضات'!$D$120&gt;0,S7&gt;='الافتراضات'!$C$120),1,0)+IF(AND('الافتراضات'!$C$112=1,'الافتراضات'!$D$121&gt;0,S7&gt;='الافتراضات'!$C$121),1,0)+IF(AND('الافتراضات'!$C$112=1,'الافتراضات'!$D$122&gt;0,S7&gt;='الافتراضات'!$C$122),1,0)</f>
        <v/>
      </c>
      <c r="T47" s="43">
        <f>IF(AND('الافتراضات'!$C$112=1,'الافتراضات'!$D$117&gt;0,T7&gt;='الافتراضات'!$C$117),1,0)+IF(AND('الافتراضات'!$C$112=1,'الافتراضات'!$D$118&gt;0,T7&gt;='الافتراضات'!$C$118),1,0)+IF(AND('الافتراضات'!$C$112=1,'الافتراضات'!$D$119&gt;0,T7&gt;='الافتراضات'!$C$119),1,0)+IF(AND('الافتراضات'!$C$112=1,'الافتراضات'!$D$120&gt;0,T7&gt;='الافتراضات'!$C$120),1,0)+IF(AND('الافتراضات'!$C$112=1,'الافتراضات'!$D$121&gt;0,T7&gt;='الافتراضات'!$C$121),1,0)+IF(AND('الافتراضات'!$C$112=1,'الافتراضات'!$D$122&gt;0,T7&gt;='الافتراضات'!$C$122),1,0)</f>
        <v/>
      </c>
      <c r="U47" s="43">
        <f>IF(AND('الافتراضات'!$C$112=1,'الافتراضات'!$D$117&gt;0,U7&gt;='الافتراضات'!$C$117),1,0)+IF(AND('الافتراضات'!$C$112=1,'الافتراضات'!$D$118&gt;0,U7&gt;='الافتراضات'!$C$118),1,0)+IF(AND('الافتراضات'!$C$112=1,'الافتراضات'!$D$119&gt;0,U7&gt;='الافتراضات'!$C$119),1,0)+IF(AND('الافتراضات'!$C$112=1,'الافتراضات'!$D$120&gt;0,U7&gt;='الافتراضات'!$C$120),1,0)+IF(AND('الافتراضات'!$C$112=1,'الافتراضات'!$D$121&gt;0,U7&gt;='الافتراضات'!$C$121),1,0)+IF(AND('الافتراضات'!$C$112=1,'الافتراضات'!$D$122&gt;0,U7&gt;='الافتراضات'!$C$122),1,0)</f>
        <v/>
      </c>
      <c r="V47" s="43">
        <f>IF(AND('الافتراضات'!$C$112=1,'الافتراضات'!$D$117&gt;0,V7&gt;='الافتراضات'!$C$117),1,0)+IF(AND('الافتراضات'!$C$112=1,'الافتراضات'!$D$118&gt;0,V7&gt;='الافتراضات'!$C$118),1,0)+IF(AND('الافتراضات'!$C$112=1,'الافتراضات'!$D$119&gt;0,V7&gt;='الافتراضات'!$C$119),1,0)+IF(AND('الافتراضات'!$C$112=1,'الافتراضات'!$D$120&gt;0,V7&gt;='الافتراضات'!$C$120),1,0)+IF(AND('الافتراضات'!$C$112=1,'الافتراضات'!$D$121&gt;0,V7&gt;='الافتراضات'!$C$121),1,0)+IF(AND('الافتراضات'!$C$112=1,'الافتراضات'!$D$122&gt;0,V7&gt;='الافتراضات'!$C$122),1,0)</f>
        <v/>
      </c>
      <c r="W47" s="43">
        <f>IF(AND('الافتراضات'!$C$112=1,'الافتراضات'!$D$117&gt;0,W7&gt;='الافتراضات'!$C$117),1,0)+IF(AND('الافتراضات'!$C$112=1,'الافتراضات'!$D$118&gt;0,W7&gt;='الافتراضات'!$C$118),1,0)+IF(AND('الافتراضات'!$C$112=1,'الافتراضات'!$D$119&gt;0,W7&gt;='الافتراضات'!$C$119),1,0)+IF(AND('الافتراضات'!$C$112=1,'الافتراضات'!$D$120&gt;0,W7&gt;='الافتراضات'!$C$120),1,0)+IF(AND('الافتراضات'!$C$112=1,'الافتراضات'!$D$121&gt;0,W7&gt;='الافتراضات'!$C$121),1,0)+IF(AND('الافتراضات'!$C$112=1,'الافتراضات'!$D$122&gt;0,W7&gt;='الافتراضات'!$C$122),1,0)</f>
        <v/>
      </c>
      <c r="X47" s="43">
        <f>IF(AND('الافتراضات'!$C$112=1,'الافتراضات'!$D$117&gt;0,X7&gt;='الافتراضات'!$C$117),1,0)+IF(AND('الافتراضات'!$C$112=1,'الافتراضات'!$D$118&gt;0,X7&gt;='الافتراضات'!$C$118),1,0)+IF(AND('الافتراضات'!$C$112=1,'الافتراضات'!$D$119&gt;0,X7&gt;='الافتراضات'!$C$119),1,0)+IF(AND('الافتراضات'!$C$112=1,'الافتراضات'!$D$120&gt;0,X7&gt;='الافتراضات'!$C$120),1,0)+IF(AND('الافتراضات'!$C$112=1,'الافتراضات'!$D$121&gt;0,X7&gt;='الافتراضات'!$C$121),1,0)+IF(AND('الافتراضات'!$C$112=1,'الافتراضات'!$D$122&gt;0,X7&gt;='الافتراضات'!$C$122),1,0)</f>
        <v/>
      </c>
      <c r="Y47" s="43">
        <f>IF(AND('الافتراضات'!$C$112=1,'الافتراضات'!$D$117&gt;0,Y7&gt;='الافتراضات'!$C$117),1,0)+IF(AND('الافتراضات'!$C$112=1,'الافتراضات'!$D$118&gt;0,Y7&gt;='الافتراضات'!$C$118),1,0)+IF(AND('الافتراضات'!$C$112=1,'الافتراضات'!$D$119&gt;0,Y7&gt;='الافتراضات'!$C$119),1,0)+IF(AND('الافتراضات'!$C$112=1,'الافتراضات'!$D$120&gt;0,Y7&gt;='الافتراضات'!$C$120),1,0)+IF(AND('الافتراضات'!$C$112=1,'الافتراضات'!$D$121&gt;0,Y7&gt;='الافتراضات'!$C$121),1,0)+IF(AND('الافتراضات'!$C$112=1,'الافتراضات'!$D$122&gt;0,Y7&gt;='الافتراضات'!$C$122),1,0)</f>
        <v/>
      </c>
      <c r="Z47" s="43">
        <f>IF(AND('الافتراضات'!$C$112=1,'الافتراضات'!$D$117&gt;0,Z7&gt;='الافتراضات'!$C$117),1,0)+IF(AND('الافتراضات'!$C$112=1,'الافتراضات'!$D$118&gt;0,Z7&gt;='الافتراضات'!$C$118),1,0)+IF(AND('الافتراضات'!$C$112=1,'الافتراضات'!$D$119&gt;0,Z7&gt;='الافتراضات'!$C$119),1,0)+IF(AND('الافتراضات'!$C$112=1,'الافتراضات'!$D$120&gt;0,Z7&gt;='الافتراضات'!$C$120),1,0)+IF(AND('الافتراضات'!$C$112=1,'الافتراضات'!$D$121&gt;0,Z7&gt;='الافتراضات'!$C$121),1,0)+IF(AND('الافتراضات'!$C$112=1,'الافتراضات'!$D$122&gt;0,Z7&gt;='الافتراضات'!$C$122),1,0)</f>
        <v/>
      </c>
      <c r="AA47" s="43">
        <f>IF(AND('الافتراضات'!$C$112=1,'الافتراضات'!$D$117&gt;0,AA7&gt;='الافتراضات'!$C$117),1,0)+IF(AND('الافتراضات'!$C$112=1,'الافتراضات'!$D$118&gt;0,AA7&gt;='الافتراضات'!$C$118),1,0)+IF(AND('الافتراضات'!$C$112=1,'الافتراضات'!$D$119&gt;0,AA7&gt;='الافتراضات'!$C$119),1,0)+IF(AND('الافتراضات'!$C$112=1,'الافتراضات'!$D$120&gt;0,AA7&gt;='الافتراضات'!$C$120),1,0)+IF(AND('الافتراضات'!$C$112=1,'الافتراضات'!$D$121&gt;0,AA7&gt;='الافتراضات'!$C$121),1,0)+IF(AND('الافتراضات'!$C$112=1,'الافتراضات'!$D$122&gt;0,AA7&gt;='الافتراضات'!$C$122),1,0)</f>
        <v/>
      </c>
      <c r="AB47" s="43">
        <f>IF(AND('الافتراضات'!$C$112=1,'الافتراضات'!$D$117&gt;0,AB7&gt;='الافتراضات'!$C$117),1,0)+IF(AND('الافتراضات'!$C$112=1,'الافتراضات'!$D$118&gt;0,AB7&gt;='الافتراضات'!$C$118),1,0)+IF(AND('الافتراضات'!$C$112=1,'الافتراضات'!$D$119&gt;0,AB7&gt;='الافتراضات'!$C$119),1,0)+IF(AND('الافتراضات'!$C$112=1,'الافتراضات'!$D$120&gt;0,AB7&gt;='الافتراضات'!$C$120),1,0)+IF(AND('الافتراضات'!$C$112=1,'الافتراضات'!$D$121&gt;0,AB7&gt;='الافتراضات'!$C$121),1,0)+IF(AND('الافتراضات'!$C$112=1,'الافتراضات'!$D$122&gt;0,AB7&gt;='الافتراضات'!$C$122),1,0)</f>
        <v/>
      </c>
      <c r="AC47" s="43">
        <f>IF(AND('الافتراضات'!$C$112=1,'الافتراضات'!$D$117&gt;0,AC7&gt;='الافتراضات'!$C$117),1,0)+IF(AND('الافتراضات'!$C$112=1,'الافتراضات'!$D$118&gt;0,AC7&gt;='الافتراضات'!$C$118),1,0)+IF(AND('الافتراضات'!$C$112=1,'الافتراضات'!$D$119&gt;0,AC7&gt;='الافتراضات'!$C$119),1,0)+IF(AND('الافتراضات'!$C$112=1,'الافتراضات'!$D$120&gt;0,AC7&gt;='الافتراضات'!$C$120),1,0)+IF(AND('الافتراضات'!$C$112=1,'الافتراضات'!$D$121&gt;0,AC7&gt;='الافتراضات'!$C$121),1,0)+IF(AND('الافتراضات'!$C$112=1,'الافتراضات'!$D$122&gt;0,AC7&gt;='الافتراضات'!$C$122),1,0)</f>
        <v/>
      </c>
      <c r="AD47" s="43">
        <f>IF(AND('الافتراضات'!$C$112=1,'الافتراضات'!$D$117&gt;0,AD7&gt;='الافتراضات'!$C$117),1,0)+IF(AND('الافتراضات'!$C$112=1,'الافتراضات'!$D$118&gt;0,AD7&gt;='الافتراضات'!$C$118),1,0)+IF(AND('الافتراضات'!$C$112=1,'الافتراضات'!$D$119&gt;0,AD7&gt;='الافتراضات'!$C$119),1,0)+IF(AND('الافتراضات'!$C$112=1,'الافتراضات'!$D$120&gt;0,AD7&gt;='الافتراضات'!$C$120),1,0)+IF(AND('الافتراضات'!$C$112=1,'الافتراضات'!$D$121&gt;0,AD7&gt;='الافتراضات'!$C$121),1,0)+IF(AND('الافتراضات'!$C$112=1,'الافتراضات'!$D$122&gt;0,AD7&gt;='الافتراضات'!$C$122),1,0)</f>
        <v/>
      </c>
      <c r="AE47" s="43">
        <f>IF(AND('الافتراضات'!$C$112=1,'الافتراضات'!$D$117&gt;0,AE7&gt;='الافتراضات'!$C$117),1,0)+IF(AND('الافتراضات'!$C$112=1,'الافتراضات'!$D$118&gt;0,AE7&gt;='الافتراضات'!$C$118),1,0)+IF(AND('الافتراضات'!$C$112=1,'الافتراضات'!$D$119&gt;0,AE7&gt;='الافتراضات'!$C$119),1,0)+IF(AND('الافتراضات'!$C$112=1,'الافتراضات'!$D$120&gt;0,AE7&gt;='الافتراضات'!$C$120),1,0)+IF(AND('الافتراضات'!$C$112=1,'الافتراضات'!$D$121&gt;0,AE7&gt;='الافتراضات'!$C$121),1,0)+IF(AND('الافتراضات'!$C$112=1,'الافتراضات'!$D$122&gt;0,AE7&gt;='الافتراضات'!$C$122),1,0)</f>
        <v/>
      </c>
      <c r="AF47" s="43">
        <f>IF(AND('الافتراضات'!$C$112=1,'الافتراضات'!$D$117&gt;0,AF7&gt;='الافتراضات'!$C$117),1,0)+IF(AND('الافتراضات'!$C$112=1,'الافتراضات'!$D$118&gt;0,AF7&gt;='الافتراضات'!$C$118),1,0)+IF(AND('الافتراضات'!$C$112=1,'الافتراضات'!$D$119&gt;0,AF7&gt;='الافتراضات'!$C$119),1,0)+IF(AND('الافتراضات'!$C$112=1,'الافتراضات'!$D$120&gt;0,AF7&gt;='الافتراضات'!$C$120),1,0)+IF(AND('الافتراضات'!$C$112=1,'الافتراضات'!$D$121&gt;0,AF7&gt;='الافتراضات'!$C$121),1,0)+IF(AND('الافتراضات'!$C$112=1,'الافتراضات'!$D$122&gt;0,AF7&gt;='الافتراضات'!$C$122),1,0)</f>
        <v/>
      </c>
      <c r="AG47" s="43">
        <f>IF(AND('الافتراضات'!$C$112=1,'الافتراضات'!$D$117&gt;0,AG7&gt;='الافتراضات'!$C$117),1,0)+IF(AND('الافتراضات'!$C$112=1,'الافتراضات'!$D$118&gt;0,AG7&gt;='الافتراضات'!$C$118),1,0)+IF(AND('الافتراضات'!$C$112=1,'الافتراضات'!$D$119&gt;0,AG7&gt;='الافتراضات'!$C$119),1,0)+IF(AND('الافتراضات'!$C$112=1,'الافتراضات'!$D$120&gt;0,AG7&gt;='الافتراضات'!$C$120),1,0)+IF(AND('الافتراضات'!$C$112=1,'الافتراضات'!$D$121&gt;0,AG7&gt;='الافتراضات'!$C$121),1,0)+IF(AND('الافتراضات'!$C$112=1,'الافتراضات'!$D$122&gt;0,AG7&gt;='الافتراضات'!$C$122),1,0)</f>
        <v/>
      </c>
      <c r="AH47" s="43">
        <f>IF(AND('الافتراضات'!$C$112=1,'الافتراضات'!$D$117&gt;0,AH7&gt;='الافتراضات'!$C$117),1,0)+IF(AND('الافتراضات'!$C$112=1,'الافتراضات'!$D$118&gt;0,AH7&gt;='الافتراضات'!$C$118),1,0)+IF(AND('الافتراضات'!$C$112=1,'الافتراضات'!$D$119&gt;0,AH7&gt;='الافتراضات'!$C$119),1,0)+IF(AND('الافتراضات'!$C$112=1,'الافتراضات'!$D$120&gt;0,AH7&gt;='الافتراضات'!$C$120),1,0)+IF(AND('الافتراضات'!$C$112=1,'الافتراضات'!$D$121&gt;0,AH7&gt;='الافتراضات'!$C$121),1,0)+IF(AND('الافتراضات'!$C$112=1,'الافتراضات'!$D$122&gt;0,AH7&gt;='الافتراضات'!$C$122),1,0)</f>
        <v/>
      </c>
      <c r="AI47" s="43">
        <f>IF(AND('الافتراضات'!$C$112=1,'الافتراضات'!$D$117&gt;0,AI7&gt;='الافتراضات'!$C$117),1,0)+IF(AND('الافتراضات'!$C$112=1,'الافتراضات'!$D$118&gt;0,AI7&gt;='الافتراضات'!$C$118),1,0)+IF(AND('الافتراضات'!$C$112=1,'الافتراضات'!$D$119&gt;0,AI7&gt;='الافتراضات'!$C$119),1,0)+IF(AND('الافتراضات'!$C$112=1,'الافتراضات'!$D$120&gt;0,AI7&gt;='الافتراضات'!$C$120),1,0)+IF(AND('الافتراضات'!$C$112=1,'الافتراضات'!$D$121&gt;0,AI7&gt;='الافتراضات'!$C$121),1,0)+IF(AND('الافتراضات'!$C$112=1,'الافتراضات'!$D$122&gt;0,AI7&gt;='الافتراضات'!$C$122),1,0)</f>
        <v/>
      </c>
      <c r="AJ47" s="43">
        <f>IF(AND('الافتراضات'!$C$112=1,'الافتراضات'!$D$117&gt;0,AJ7&gt;='الافتراضات'!$C$117),1,0)+IF(AND('الافتراضات'!$C$112=1,'الافتراضات'!$D$118&gt;0,AJ7&gt;='الافتراضات'!$C$118),1,0)+IF(AND('الافتراضات'!$C$112=1,'الافتراضات'!$D$119&gt;0,AJ7&gt;='الافتراضات'!$C$119),1,0)+IF(AND('الافتراضات'!$C$112=1,'الافتراضات'!$D$120&gt;0,AJ7&gt;='الافتراضات'!$C$120),1,0)+IF(AND('الافتراضات'!$C$112=1,'الافتراضات'!$D$121&gt;0,AJ7&gt;='الافتراضات'!$C$121),1,0)+IF(AND('الافتراضات'!$C$112=1,'الافتراضات'!$D$122&gt;0,AJ7&gt;='الافتراضات'!$C$122),1,0)</f>
        <v/>
      </c>
      <c r="AK47" s="43">
        <f>IF(AND('الافتراضات'!$C$112=1,'الافتراضات'!$D$117&gt;0,AK7&gt;='الافتراضات'!$C$117),1,0)+IF(AND('الافتراضات'!$C$112=1,'الافتراضات'!$D$118&gt;0,AK7&gt;='الافتراضات'!$C$118),1,0)+IF(AND('الافتراضات'!$C$112=1,'الافتراضات'!$D$119&gt;0,AK7&gt;='الافتراضات'!$C$119),1,0)+IF(AND('الافتراضات'!$C$112=1,'الافتراضات'!$D$120&gt;0,AK7&gt;='الافتراضات'!$C$120),1,0)+IF(AND('الافتراضات'!$C$112=1,'الافتراضات'!$D$121&gt;0,AK7&gt;='الافتراضات'!$C$121),1,0)+IF(AND('الافتراضات'!$C$112=1,'الافتراضات'!$D$122&gt;0,AK7&gt;='الافتراضات'!$C$122),1,0)</f>
        <v/>
      </c>
      <c r="AL47" s="43">
        <f>IF(AND('الافتراضات'!$C$112=1,'الافتراضات'!$D$117&gt;0,AL7&gt;='الافتراضات'!$C$117),1,0)+IF(AND('الافتراضات'!$C$112=1,'الافتراضات'!$D$118&gt;0,AL7&gt;='الافتراضات'!$C$118),1,0)+IF(AND('الافتراضات'!$C$112=1,'الافتراضات'!$D$119&gt;0,AL7&gt;='الافتراضات'!$C$119),1,0)+IF(AND('الافتراضات'!$C$112=1,'الافتراضات'!$D$120&gt;0,AL7&gt;='الافتراضات'!$C$120),1,0)+IF(AND('الافتراضات'!$C$112=1,'الافتراضات'!$D$121&gt;0,AL7&gt;='الافتراضات'!$C$121),1,0)+IF(AND('الافتراضات'!$C$112=1,'الافتراضات'!$D$122&gt;0,AL7&gt;='الافتراضات'!$C$122),1,0)</f>
        <v/>
      </c>
      <c r="AM47" s="43">
        <f>IF(AND('الافتراضات'!$C$112=1,'الافتراضات'!$D$117&gt;0,AM7&gt;='الافتراضات'!$C$117),1,0)+IF(AND('الافتراضات'!$C$112=1,'الافتراضات'!$D$118&gt;0,AM7&gt;='الافتراضات'!$C$118),1,0)+IF(AND('الافتراضات'!$C$112=1,'الافتراضات'!$D$119&gt;0,AM7&gt;='الافتراضات'!$C$119),1,0)+IF(AND('الافتراضات'!$C$112=1,'الافتراضات'!$D$120&gt;0,AM7&gt;='الافتراضات'!$C$120),1,0)+IF(AND('الافتراضات'!$C$112=1,'الافتراضات'!$D$121&gt;0,AM7&gt;='الافتراضات'!$C$121),1,0)+IF(AND('الافتراضات'!$C$112=1,'الافتراضات'!$D$122&gt;0,AM7&gt;='الافتراضات'!$C$122),1,0)</f>
        <v/>
      </c>
      <c r="AN47" s="43">
        <f>IF(AND('الافتراضات'!$C$112=1,'الافتراضات'!$D$117&gt;0,AN7&gt;='الافتراضات'!$C$117),1,0)+IF(AND('الافتراضات'!$C$112=1,'الافتراضات'!$D$118&gt;0,AN7&gt;='الافتراضات'!$C$118),1,0)+IF(AND('الافتراضات'!$C$112=1,'الافتراضات'!$D$119&gt;0,AN7&gt;='الافتراضات'!$C$119),1,0)+IF(AND('الافتراضات'!$C$112=1,'الافتراضات'!$D$120&gt;0,AN7&gt;='الافتراضات'!$C$120),1,0)+IF(AND('الافتراضات'!$C$112=1,'الافتراضات'!$D$121&gt;0,AN7&gt;='الافتراضات'!$C$121),1,0)+IF(AND('الافتراضات'!$C$112=1,'الافتراضات'!$D$122&gt;0,AN7&gt;='الافتراضات'!$C$122),1,0)</f>
        <v/>
      </c>
      <c r="AO47" s="43">
        <f>IF(AND('الافتراضات'!$C$112=1,'الافتراضات'!$D$117&gt;0,AO7&gt;='الافتراضات'!$C$117),1,0)+IF(AND('الافتراضات'!$C$112=1,'الافتراضات'!$D$118&gt;0,AO7&gt;='الافتراضات'!$C$118),1,0)+IF(AND('الافتراضات'!$C$112=1,'الافتراضات'!$D$119&gt;0,AO7&gt;='الافتراضات'!$C$119),1,0)+IF(AND('الافتراضات'!$C$112=1,'الافتراضات'!$D$120&gt;0,AO7&gt;='الافتراضات'!$C$120),1,0)+IF(AND('الافتراضات'!$C$112=1,'الافتراضات'!$D$121&gt;0,AO7&gt;='الافتراضات'!$C$121),1,0)+IF(AND('الافتراضات'!$C$112=1,'الافتراضات'!$D$122&gt;0,AO7&gt;='الافتراضات'!$C$122),1,0)</f>
        <v/>
      </c>
      <c r="AP47" s="43">
        <f>IF(AND('الافتراضات'!$C$112=1,'الافتراضات'!$D$117&gt;0,AP7&gt;='الافتراضات'!$C$117),1,0)+IF(AND('الافتراضات'!$C$112=1,'الافتراضات'!$D$118&gt;0,AP7&gt;='الافتراضات'!$C$118),1,0)+IF(AND('الافتراضات'!$C$112=1,'الافتراضات'!$D$119&gt;0,AP7&gt;='الافتراضات'!$C$119),1,0)+IF(AND('الافتراضات'!$C$112=1,'الافتراضات'!$D$120&gt;0,AP7&gt;='الافتراضات'!$C$120),1,0)+IF(AND('الافتراضات'!$C$112=1,'الافتراضات'!$D$121&gt;0,AP7&gt;='الافتراضات'!$C$121),1,0)+IF(AND('الافتراضات'!$C$112=1,'الافتراضات'!$D$122&gt;0,AP7&gt;='الافتراضات'!$C$122),1,0)</f>
        <v/>
      </c>
      <c r="AQ47" s="43">
        <f>IF(AND('الافتراضات'!$C$112=1,'الافتراضات'!$D$117&gt;0,AQ7&gt;='الافتراضات'!$C$117),1,0)+IF(AND('الافتراضات'!$C$112=1,'الافتراضات'!$D$118&gt;0,AQ7&gt;='الافتراضات'!$C$118),1,0)+IF(AND('الافتراضات'!$C$112=1,'الافتراضات'!$D$119&gt;0,AQ7&gt;='الافتراضات'!$C$119),1,0)+IF(AND('الافتراضات'!$C$112=1,'الافتراضات'!$D$120&gt;0,AQ7&gt;='الافتراضات'!$C$120),1,0)+IF(AND('الافتراضات'!$C$112=1,'الافتراضات'!$D$121&gt;0,AQ7&gt;='الافتراضات'!$C$121),1,0)+IF(AND('الافتراضات'!$C$112=1,'الافتراضات'!$D$122&gt;0,AQ7&gt;='الافتراضات'!$C$122),1,0)</f>
        <v/>
      </c>
      <c r="AR47" s="43">
        <f>IF(AND('الافتراضات'!$C$112=1,'الافتراضات'!$D$117&gt;0,AR7&gt;='الافتراضات'!$C$117),1,0)+IF(AND('الافتراضات'!$C$112=1,'الافتراضات'!$D$118&gt;0,AR7&gt;='الافتراضات'!$C$118),1,0)+IF(AND('الافتراضات'!$C$112=1,'الافتراضات'!$D$119&gt;0,AR7&gt;='الافتراضات'!$C$119),1,0)+IF(AND('الافتراضات'!$C$112=1,'الافتراضات'!$D$120&gt;0,AR7&gt;='الافتراضات'!$C$120),1,0)+IF(AND('الافتراضات'!$C$112=1,'الافتراضات'!$D$121&gt;0,AR7&gt;='الافتراضات'!$C$121),1,0)+IF(AND('الافتراضات'!$C$112=1,'الافتراضات'!$D$122&gt;0,AR7&gt;='الافتراضات'!$C$122),1,0)</f>
        <v/>
      </c>
      <c r="AS47" s="43">
        <f>IF(AND('الافتراضات'!$C$112=1,'الافتراضات'!$D$117&gt;0,AS7&gt;='الافتراضات'!$C$117),1,0)+IF(AND('الافتراضات'!$C$112=1,'الافتراضات'!$D$118&gt;0,AS7&gt;='الافتراضات'!$C$118),1,0)+IF(AND('الافتراضات'!$C$112=1,'الافتراضات'!$D$119&gt;0,AS7&gt;='الافتراضات'!$C$119),1,0)+IF(AND('الافتراضات'!$C$112=1,'الافتراضات'!$D$120&gt;0,AS7&gt;='الافتراضات'!$C$120),1,0)+IF(AND('الافتراضات'!$C$112=1,'الافتراضات'!$D$121&gt;0,AS7&gt;='الافتراضات'!$C$121),1,0)+IF(AND('الافتراضات'!$C$112=1,'الافتراضات'!$D$122&gt;0,AS7&gt;='الافتراضات'!$C$122),1,0)</f>
        <v/>
      </c>
      <c r="AT47" s="43">
        <f>IF(AND('الافتراضات'!$C$112=1,'الافتراضات'!$D$117&gt;0,AT7&gt;='الافتراضات'!$C$117),1,0)+IF(AND('الافتراضات'!$C$112=1,'الافتراضات'!$D$118&gt;0,AT7&gt;='الافتراضات'!$C$118),1,0)+IF(AND('الافتراضات'!$C$112=1,'الافتراضات'!$D$119&gt;0,AT7&gt;='الافتراضات'!$C$119),1,0)+IF(AND('الافتراضات'!$C$112=1,'الافتراضات'!$D$120&gt;0,AT7&gt;='الافتراضات'!$C$120),1,0)+IF(AND('الافتراضات'!$C$112=1,'الافتراضات'!$D$121&gt;0,AT7&gt;='الافتراضات'!$C$121),1,0)+IF(AND('الافتراضات'!$C$112=1,'الافتراضات'!$D$122&gt;0,AT7&gt;='الافتراضات'!$C$122),1,0)</f>
        <v/>
      </c>
      <c r="AU47" s="43">
        <f>IF(AND('الافتراضات'!$C$112=1,'الافتراضات'!$D$117&gt;0,AU7&gt;='الافتراضات'!$C$117),1,0)+IF(AND('الافتراضات'!$C$112=1,'الافتراضات'!$D$118&gt;0,AU7&gt;='الافتراضات'!$C$118),1,0)+IF(AND('الافتراضات'!$C$112=1,'الافتراضات'!$D$119&gt;0,AU7&gt;='الافتراضات'!$C$119),1,0)+IF(AND('الافتراضات'!$C$112=1,'الافتراضات'!$D$120&gt;0,AU7&gt;='الافتراضات'!$C$120),1,0)+IF(AND('الافتراضات'!$C$112=1,'الافتراضات'!$D$121&gt;0,AU7&gt;='الافتراضات'!$C$121),1,0)+IF(AND('الافتراضات'!$C$112=1,'الافتراضات'!$D$122&gt;0,AU7&gt;='الافتراضات'!$C$122),1,0)</f>
        <v/>
      </c>
      <c r="AV47" s="43">
        <f>IF(AND('الافتراضات'!$C$112=1,'الافتراضات'!$D$117&gt;0,AV7&gt;='الافتراضات'!$C$117),1,0)+IF(AND('الافتراضات'!$C$112=1,'الافتراضات'!$D$118&gt;0,AV7&gt;='الافتراضات'!$C$118),1,0)+IF(AND('الافتراضات'!$C$112=1,'الافتراضات'!$D$119&gt;0,AV7&gt;='الافتراضات'!$C$119),1,0)+IF(AND('الافتراضات'!$C$112=1,'الافتراضات'!$D$120&gt;0,AV7&gt;='الافتراضات'!$C$120),1,0)+IF(AND('الافتراضات'!$C$112=1,'الافتراضات'!$D$121&gt;0,AV7&gt;='الافتراضات'!$C$121),1,0)+IF(AND('الافتراضات'!$C$112=1,'الافتراضات'!$D$122&gt;0,AV7&gt;='الافتراضات'!$C$122),1,0)</f>
        <v/>
      </c>
      <c r="AW47" s="43">
        <f>IF(AND('الافتراضات'!$C$112=1,'الافتراضات'!$D$117&gt;0,AW7&gt;='الافتراضات'!$C$117),1,0)+IF(AND('الافتراضات'!$C$112=1,'الافتراضات'!$D$118&gt;0,AW7&gt;='الافتراضات'!$C$118),1,0)+IF(AND('الافتراضات'!$C$112=1,'الافتراضات'!$D$119&gt;0,AW7&gt;='الافتراضات'!$C$119),1,0)+IF(AND('الافتراضات'!$C$112=1,'الافتراضات'!$D$120&gt;0,AW7&gt;='الافتراضات'!$C$120),1,0)+IF(AND('الافتراضات'!$C$112=1,'الافتراضات'!$D$121&gt;0,AW7&gt;='الافتراضات'!$C$121),1,0)+IF(AND('الافتراضات'!$C$112=1,'الافتراضات'!$D$122&gt;0,AW7&gt;='الافتراضات'!$C$122),1,0)</f>
        <v/>
      </c>
      <c r="AX47" s="43">
        <f>IF(AND('الافتراضات'!$C$112=1,'الافتراضات'!$D$117&gt;0,AX7&gt;='الافتراضات'!$C$117),1,0)+IF(AND('الافتراضات'!$C$112=1,'الافتراضات'!$D$118&gt;0,AX7&gt;='الافتراضات'!$C$118),1,0)+IF(AND('الافتراضات'!$C$112=1,'الافتراضات'!$D$119&gt;0,AX7&gt;='الافتراضات'!$C$119),1,0)+IF(AND('الافتراضات'!$C$112=1,'الافتراضات'!$D$120&gt;0,AX7&gt;='الافتراضات'!$C$120),1,0)+IF(AND('الافتراضات'!$C$112=1,'الافتراضات'!$D$121&gt;0,AX7&gt;='الافتراضات'!$C$121),1,0)+IF(AND('الافتراضات'!$C$112=1,'الافتراضات'!$D$122&gt;0,AX7&gt;='الافتراضات'!$C$122),1,0)</f>
        <v/>
      </c>
      <c r="AY47" s="43">
        <f>IF(AND('الافتراضات'!$C$112=1,'الافتراضات'!$D$117&gt;0,AY7&gt;='الافتراضات'!$C$117),1,0)+IF(AND('الافتراضات'!$C$112=1,'الافتراضات'!$D$118&gt;0,AY7&gt;='الافتراضات'!$C$118),1,0)+IF(AND('الافتراضات'!$C$112=1,'الافتراضات'!$D$119&gt;0,AY7&gt;='الافتراضات'!$C$119),1,0)+IF(AND('الافتراضات'!$C$112=1,'الافتراضات'!$D$120&gt;0,AY7&gt;='الافتراضات'!$C$120),1,0)+IF(AND('الافتراضات'!$C$112=1,'الافتراضات'!$D$121&gt;0,AY7&gt;='الافتراضات'!$C$121),1,0)+IF(AND('الافتراضات'!$C$112=1,'الافتراضات'!$D$122&gt;0,AY7&gt;='الافتراضات'!$C$122),1,0)</f>
        <v/>
      </c>
      <c r="AZ47" s="43">
        <f>IF(AND('الافتراضات'!$C$112=1,'الافتراضات'!$D$117&gt;0,AZ7&gt;='الافتراضات'!$C$117),1,0)+IF(AND('الافتراضات'!$C$112=1,'الافتراضات'!$D$118&gt;0,AZ7&gt;='الافتراضات'!$C$118),1,0)+IF(AND('الافتراضات'!$C$112=1,'الافتراضات'!$D$119&gt;0,AZ7&gt;='الافتراضات'!$C$119),1,0)+IF(AND('الافتراضات'!$C$112=1,'الافتراضات'!$D$120&gt;0,AZ7&gt;='الافتراضات'!$C$120),1,0)+IF(AND('الافتراضات'!$C$112=1,'الافتراضات'!$D$121&gt;0,AZ7&gt;='الافتراضات'!$C$121),1,0)+IF(AND('الافتراضات'!$C$112=1,'الافتراضات'!$D$122&gt;0,AZ7&gt;='الافتراضات'!$C$122),1,0)</f>
        <v/>
      </c>
      <c r="BA47" s="43">
        <f>IF(AND('الافتراضات'!$C$112=1,'الافتراضات'!$D$117&gt;0,BA7&gt;='الافتراضات'!$C$117),1,0)+IF(AND('الافتراضات'!$C$112=1,'الافتراضات'!$D$118&gt;0,BA7&gt;='الافتراضات'!$C$118),1,0)+IF(AND('الافتراضات'!$C$112=1,'الافتراضات'!$D$119&gt;0,BA7&gt;='الافتراضات'!$C$119),1,0)+IF(AND('الافتراضات'!$C$112=1,'الافتراضات'!$D$120&gt;0,BA7&gt;='الافتراضات'!$C$120),1,0)+IF(AND('الافتراضات'!$C$112=1,'الافتراضات'!$D$121&gt;0,BA7&gt;='الافتراضات'!$C$121),1,0)+IF(AND('الافتراضات'!$C$112=1,'الافتراضات'!$D$122&gt;0,BA7&gt;='الافتراضات'!$C$122),1,0)</f>
        <v/>
      </c>
      <c r="BB47" s="43">
        <f>IF(AND('الافتراضات'!$C$112=1,'الافتراضات'!$D$117&gt;0,BB7&gt;='الافتراضات'!$C$117),1,0)+IF(AND('الافتراضات'!$C$112=1,'الافتراضات'!$D$118&gt;0,BB7&gt;='الافتراضات'!$C$118),1,0)+IF(AND('الافتراضات'!$C$112=1,'الافتراضات'!$D$119&gt;0,BB7&gt;='الافتراضات'!$C$119),1,0)+IF(AND('الافتراضات'!$C$112=1,'الافتراضات'!$D$120&gt;0,BB7&gt;='الافتراضات'!$C$120),1,0)+IF(AND('الافتراضات'!$C$112=1,'الافتراضات'!$D$121&gt;0,BB7&gt;='الافتراضات'!$C$121),1,0)+IF(AND('الافتراضات'!$C$112=1,'الافتراضات'!$D$122&gt;0,BB7&gt;='الافتراضات'!$C$122),1,0)</f>
        <v/>
      </c>
      <c r="BC47" s="43">
        <f>IF(AND('الافتراضات'!$C$112=1,'الافتراضات'!$D$117&gt;0,BC7&gt;='الافتراضات'!$C$117),1,0)+IF(AND('الافتراضات'!$C$112=1,'الافتراضات'!$D$118&gt;0,BC7&gt;='الافتراضات'!$C$118),1,0)+IF(AND('الافتراضات'!$C$112=1,'الافتراضات'!$D$119&gt;0,BC7&gt;='الافتراضات'!$C$119),1,0)+IF(AND('الافتراضات'!$C$112=1,'الافتراضات'!$D$120&gt;0,BC7&gt;='الافتراضات'!$C$120),1,0)+IF(AND('الافتراضات'!$C$112=1,'الافتراضات'!$D$121&gt;0,BC7&gt;='الافتراضات'!$C$121),1,0)+IF(AND('الافتراضات'!$C$112=1,'الافتراضات'!$D$122&gt;0,BC7&gt;='الافتراضات'!$C$122),1,0)</f>
        <v/>
      </c>
      <c r="BD47" s="43">
        <f>IF(AND('الافتراضات'!$C$112=1,'الافتراضات'!$D$117&gt;0,BD7&gt;='الافتراضات'!$C$117),1,0)+IF(AND('الافتراضات'!$C$112=1,'الافتراضات'!$D$118&gt;0,BD7&gt;='الافتراضات'!$C$118),1,0)+IF(AND('الافتراضات'!$C$112=1,'الافتراضات'!$D$119&gt;0,BD7&gt;='الافتراضات'!$C$119),1,0)+IF(AND('الافتراضات'!$C$112=1,'الافتراضات'!$D$120&gt;0,BD7&gt;='الافتراضات'!$C$120),1,0)+IF(AND('الافتراضات'!$C$112=1,'الافتراضات'!$D$121&gt;0,BD7&gt;='الافتراضات'!$C$121),1,0)+IF(AND('الافتراضات'!$C$112=1,'الافتراضات'!$D$122&gt;0,BD7&gt;='الافتراضات'!$C$122),1,0)</f>
        <v/>
      </c>
      <c r="BE47" s="43">
        <f>IF(AND('الافتراضات'!$C$112=1,'الافتراضات'!$D$117&gt;0,BE7&gt;='الافتراضات'!$C$117),1,0)+IF(AND('الافتراضات'!$C$112=1,'الافتراضات'!$D$118&gt;0,BE7&gt;='الافتراضات'!$C$118),1,0)+IF(AND('الافتراضات'!$C$112=1,'الافتراضات'!$D$119&gt;0,BE7&gt;='الافتراضات'!$C$119),1,0)+IF(AND('الافتراضات'!$C$112=1,'الافتراضات'!$D$120&gt;0,BE7&gt;='الافتراضات'!$C$120),1,0)+IF(AND('الافتراضات'!$C$112=1,'الافتراضات'!$D$121&gt;0,BE7&gt;='الافتراضات'!$C$121),1,0)+IF(AND('الافتراضات'!$C$112=1,'الافتراضات'!$D$122&gt;0,BE7&gt;='الافتراضات'!$C$122),1,0)</f>
        <v/>
      </c>
      <c r="BF47" s="43">
        <f>IF(AND('الافتراضات'!$C$112=1,'الافتراضات'!$D$117&gt;0,BF7&gt;='الافتراضات'!$C$117),1,0)+IF(AND('الافتراضات'!$C$112=1,'الافتراضات'!$D$118&gt;0,BF7&gt;='الافتراضات'!$C$118),1,0)+IF(AND('الافتراضات'!$C$112=1,'الافتراضات'!$D$119&gt;0,BF7&gt;='الافتراضات'!$C$119),1,0)+IF(AND('الافتراضات'!$C$112=1,'الافتراضات'!$D$120&gt;0,BF7&gt;='الافتراضات'!$C$120),1,0)+IF(AND('الافتراضات'!$C$112=1,'الافتراضات'!$D$121&gt;0,BF7&gt;='الافتراضات'!$C$121),1,0)+IF(AND('الافتراضات'!$C$112=1,'الافتراضات'!$D$122&gt;0,BF7&gt;='الافتراضات'!$C$122),1,0)</f>
        <v/>
      </c>
      <c r="BG47" s="43">
        <f>IF(AND('الافتراضات'!$C$112=1,'الافتراضات'!$D$117&gt;0,BG7&gt;='الافتراضات'!$C$117),1,0)+IF(AND('الافتراضات'!$C$112=1,'الافتراضات'!$D$118&gt;0,BG7&gt;='الافتراضات'!$C$118),1,0)+IF(AND('الافتراضات'!$C$112=1,'الافتراضات'!$D$119&gt;0,BG7&gt;='الافتراضات'!$C$119),1,0)+IF(AND('الافتراضات'!$C$112=1,'الافتراضات'!$D$120&gt;0,BG7&gt;='الافتراضات'!$C$120),1,0)+IF(AND('الافتراضات'!$C$112=1,'الافتراضات'!$D$121&gt;0,BG7&gt;='الافتراضات'!$C$121),1,0)+IF(AND('الافتراضات'!$C$112=1,'الافتراضات'!$D$122&gt;0,BG7&gt;='الافتراضات'!$C$122),1,0)</f>
        <v/>
      </c>
      <c r="BH47" s="43">
        <f>IF(AND('الافتراضات'!$C$112=1,'الافتراضات'!$D$117&gt;0,BH7&gt;='الافتراضات'!$C$117),1,0)+IF(AND('الافتراضات'!$C$112=1,'الافتراضات'!$D$118&gt;0,BH7&gt;='الافتراضات'!$C$118),1,0)+IF(AND('الافتراضات'!$C$112=1,'الافتراضات'!$D$119&gt;0,BH7&gt;='الافتراضات'!$C$119),1,0)+IF(AND('الافتراضات'!$C$112=1,'الافتراضات'!$D$120&gt;0,BH7&gt;='الافتراضات'!$C$120),1,0)+IF(AND('الافتراضات'!$C$112=1,'الافتراضات'!$D$121&gt;0,BH7&gt;='الافتراضات'!$C$121),1,0)+IF(AND('الافتراضات'!$C$112=1,'الافتراضات'!$D$122&gt;0,BH7&gt;='الافتراضات'!$C$122),1,0)</f>
        <v/>
      </c>
      <c r="BI47" s="43">
        <f>IF(AND('الافتراضات'!$C$112=1,'الافتراضات'!$D$117&gt;0,BI7&gt;='الافتراضات'!$C$117),1,0)+IF(AND('الافتراضات'!$C$112=1,'الافتراضات'!$D$118&gt;0,BI7&gt;='الافتراضات'!$C$118),1,0)+IF(AND('الافتراضات'!$C$112=1,'الافتراضات'!$D$119&gt;0,BI7&gt;='الافتراضات'!$C$119),1,0)+IF(AND('الافتراضات'!$C$112=1,'الافتراضات'!$D$120&gt;0,BI7&gt;='الافتراضات'!$C$120),1,0)+IF(AND('الافتراضات'!$C$112=1,'الافتراضات'!$D$121&gt;0,BI7&gt;='الافتراضات'!$C$121),1,0)+IF(AND('الافتراضات'!$C$112=1,'الافتراضات'!$D$122&gt;0,BI7&gt;='الافتراضات'!$C$122),1,0)</f>
        <v/>
      </c>
      <c r="BJ47" s="43">
        <f>IF(AND('الافتراضات'!$C$112=1,'الافتراضات'!$D$117&gt;0,BJ7&gt;='الافتراضات'!$C$117),1,0)+IF(AND('الافتراضات'!$C$112=1,'الافتراضات'!$D$118&gt;0,BJ7&gt;='الافتراضات'!$C$118),1,0)+IF(AND('الافتراضات'!$C$112=1,'الافتراضات'!$D$119&gt;0,BJ7&gt;='الافتراضات'!$C$119),1,0)+IF(AND('الافتراضات'!$C$112=1,'الافتراضات'!$D$120&gt;0,BJ7&gt;='الافتراضات'!$C$120),1,0)+IF(AND('الافتراضات'!$C$112=1,'الافتراضات'!$D$121&gt;0,BJ7&gt;='الافتراضات'!$C$121),1,0)+IF(AND('الافتراضات'!$C$112=1,'الافتراضات'!$D$122&gt;0,BJ7&gt;='الافتراضات'!$C$122),1,0)</f>
        <v/>
      </c>
      <c r="BK47" s="43">
        <f>IF(AND('الافتراضات'!$C$112=1,'الافتراضات'!$D$117&gt;0,BK7&gt;='الافتراضات'!$C$117),1,0)+IF(AND('الافتراضات'!$C$112=1,'الافتراضات'!$D$118&gt;0,BK7&gt;='الافتراضات'!$C$118),1,0)+IF(AND('الافتراضات'!$C$112=1,'الافتراضات'!$D$119&gt;0,BK7&gt;='الافتراضات'!$C$119),1,0)+IF(AND('الافتراضات'!$C$112=1,'الافتراضات'!$D$120&gt;0,BK7&gt;='الافتراضات'!$C$120),1,0)+IF(AND('الافتراضات'!$C$112=1,'الافتراضات'!$D$121&gt;0,BK7&gt;='الافتراضات'!$C$121),1,0)+IF(AND('الافتراضات'!$C$112=1,'الافتراضات'!$D$122&gt;0,BK7&gt;='الافتراضات'!$C$122),1,0)</f>
        <v/>
      </c>
      <c r="BL47" s="43">
        <f>IF(AND('الافتراضات'!$C$112=1,'الافتراضات'!$D$117&gt;0,BL7&gt;='الافتراضات'!$C$117),1,0)+IF(AND('الافتراضات'!$C$112=1,'الافتراضات'!$D$118&gt;0,BL7&gt;='الافتراضات'!$C$118),1,0)+IF(AND('الافتراضات'!$C$112=1,'الافتراضات'!$D$119&gt;0,BL7&gt;='الافتراضات'!$C$119),1,0)+IF(AND('الافتراضات'!$C$112=1,'الافتراضات'!$D$120&gt;0,BL7&gt;='الافتراضات'!$C$120),1,0)+IF(AND('الافتراضات'!$C$112=1,'الافتراضات'!$D$121&gt;0,BL7&gt;='الافتراضات'!$C$121),1,0)+IF(AND('الافتراضات'!$C$112=1,'الافتراضات'!$D$122&gt;0,BL7&gt;='الافتراضات'!$C$122),1,0)</f>
        <v/>
      </c>
      <c r="BM47" s="43">
        <f>IF(AND('الافتراضات'!$C$112=1,'الافتراضات'!$D$117&gt;0,BM7&gt;='الافتراضات'!$C$117),1,0)+IF(AND('الافتراضات'!$C$112=1,'الافتراضات'!$D$118&gt;0,BM7&gt;='الافتراضات'!$C$118),1,0)+IF(AND('الافتراضات'!$C$112=1,'الافتراضات'!$D$119&gt;0,BM7&gt;='الافتراضات'!$C$119),1,0)+IF(AND('الافتراضات'!$C$112=1,'الافتراضات'!$D$120&gt;0,BM7&gt;='الافتراضات'!$C$120),1,0)+IF(AND('الافتراضات'!$C$112=1,'الافتراضات'!$D$121&gt;0,BM7&gt;='الافتراضات'!$C$121),1,0)+IF(AND('الافتراضات'!$C$112=1,'الافتراضات'!$D$122&gt;0,BM7&gt;='الافتراضات'!$C$122),1,0)</f>
        <v/>
      </c>
    </row>
    <row r="48">
      <c r="A48" s="4" t="inlineStr">
        <is>
          <t>مراكز التوسع في شهر ما قبل الإطلاق</t>
        </is>
      </c>
      <c r="B48" s="22" t="inlineStr">
        <is>
          <t>#</t>
        </is>
      </c>
      <c r="C48" s="43">
        <f>IF(AND('الافتراضات'!$C$112=1,'الافتراضات'!$D$117&gt;0,C7='الافتراضات'!$C$117-1),1,0)+IF(AND('الافتراضات'!$C$112=1,'الافتراضات'!$D$118&gt;0,C7='الافتراضات'!$C$118-1),1,0)+IF(AND('الافتراضات'!$C$112=1,'الافتراضات'!$D$119&gt;0,C7='الافتراضات'!$C$119-1),1,0)+IF(AND('الافتراضات'!$C$112=1,'الافتراضات'!$D$120&gt;0,C7='الافتراضات'!$C$120-1),1,0)+IF(AND('الافتراضات'!$C$112=1,'الافتراضات'!$D$121&gt;0,C7='الافتراضات'!$C$121-1),1,0)+IF(AND('الافتراضات'!$C$112=1,'الافتراضات'!$D$122&gt;0,C7='الافتراضات'!$C$122-1),1,0)</f>
        <v/>
      </c>
      <c r="D48" s="43">
        <f>IF(AND('الافتراضات'!$C$112=1,'الافتراضات'!$D$117&gt;0,D7='الافتراضات'!$C$117-1),1,0)+IF(AND('الافتراضات'!$C$112=1,'الافتراضات'!$D$118&gt;0,D7='الافتراضات'!$C$118-1),1,0)+IF(AND('الافتراضات'!$C$112=1,'الافتراضات'!$D$119&gt;0,D7='الافتراضات'!$C$119-1),1,0)+IF(AND('الافتراضات'!$C$112=1,'الافتراضات'!$D$120&gt;0,D7='الافتراضات'!$C$120-1),1,0)+IF(AND('الافتراضات'!$C$112=1,'الافتراضات'!$D$121&gt;0,D7='الافتراضات'!$C$121-1),1,0)+IF(AND('الافتراضات'!$C$112=1,'الافتراضات'!$D$122&gt;0,D7='الافتراضات'!$C$122-1),1,0)</f>
        <v/>
      </c>
      <c r="E48" s="43">
        <f>IF(AND('الافتراضات'!$C$112=1,'الافتراضات'!$D$117&gt;0,E7='الافتراضات'!$C$117-1),1,0)+IF(AND('الافتراضات'!$C$112=1,'الافتراضات'!$D$118&gt;0,E7='الافتراضات'!$C$118-1),1,0)+IF(AND('الافتراضات'!$C$112=1,'الافتراضات'!$D$119&gt;0,E7='الافتراضات'!$C$119-1),1,0)+IF(AND('الافتراضات'!$C$112=1,'الافتراضات'!$D$120&gt;0,E7='الافتراضات'!$C$120-1),1,0)+IF(AND('الافتراضات'!$C$112=1,'الافتراضات'!$D$121&gt;0,E7='الافتراضات'!$C$121-1),1,0)+IF(AND('الافتراضات'!$C$112=1,'الافتراضات'!$D$122&gt;0,E7='الافتراضات'!$C$122-1),1,0)</f>
        <v/>
      </c>
      <c r="F48" s="43">
        <f>IF(AND('الافتراضات'!$C$112=1,'الافتراضات'!$D$117&gt;0,F7='الافتراضات'!$C$117-1),1,0)+IF(AND('الافتراضات'!$C$112=1,'الافتراضات'!$D$118&gt;0,F7='الافتراضات'!$C$118-1),1,0)+IF(AND('الافتراضات'!$C$112=1,'الافتراضات'!$D$119&gt;0,F7='الافتراضات'!$C$119-1),1,0)+IF(AND('الافتراضات'!$C$112=1,'الافتراضات'!$D$120&gt;0,F7='الافتراضات'!$C$120-1),1,0)+IF(AND('الافتراضات'!$C$112=1,'الافتراضات'!$D$121&gt;0,F7='الافتراضات'!$C$121-1),1,0)+IF(AND('الافتراضات'!$C$112=1,'الافتراضات'!$D$122&gt;0,F7='الافتراضات'!$C$122-1),1,0)</f>
        <v/>
      </c>
      <c r="G48" s="43">
        <f>IF(AND('الافتراضات'!$C$112=1,'الافتراضات'!$D$117&gt;0,G7='الافتراضات'!$C$117-1),1,0)+IF(AND('الافتراضات'!$C$112=1,'الافتراضات'!$D$118&gt;0,G7='الافتراضات'!$C$118-1),1,0)+IF(AND('الافتراضات'!$C$112=1,'الافتراضات'!$D$119&gt;0,G7='الافتراضات'!$C$119-1),1,0)+IF(AND('الافتراضات'!$C$112=1,'الافتراضات'!$D$120&gt;0,G7='الافتراضات'!$C$120-1),1,0)+IF(AND('الافتراضات'!$C$112=1,'الافتراضات'!$D$121&gt;0,G7='الافتراضات'!$C$121-1),1,0)+IF(AND('الافتراضات'!$C$112=1,'الافتراضات'!$D$122&gt;0,G7='الافتراضات'!$C$122-1),1,0)</f>
        <v/>
      </c>
      <c r="H48" s="43">
        <f>IF(AND('الافتراضات'!$C$112=1,'الافتراضات'!$D$117&gt;0,H7='الافتراضات'!$C$117-1),1,0)+IF(AND('الافتراضات'!$C$112=1,'الافتراضات'!$D$118&gt;0,H7='الافتراضات'!$C$118-1),1,0)+IF(AND('الافتراضات'!$C$112=1,'الافتراضات'!$D$119&gt;0,H7='الافتراضات'!$C$119-1),1,0)+IF(AND('الافتراضات'!$C$112=1,'الافتراضات'!$D$120&gt;0,H7='الافتراضات'!$C$120-1),1,0)+IF(AND('الافتراضات'!$C$112=1,'الافتراضات'!$D$121&gt;0,H7='الافتراضات'!$C$121-1),1,0)+IF(AND('الافتراضات'!$C$112=1,'الافتراضات'!$D$122&gt;0,H7='الافتراضات'!$C$122-1),1,0)</f>
        <v/>
      </c>
      <c r="I48" s="43">
        <f>IF(AND('الافتراضات'!$C$112=1,'الافتراضات'!$D$117&gt;0,I7='الافتراضات'!$C$117-1),1,0)+IF(AND('الافتراضات'!$C$112=1,'الافتراضات'!$D$118&gt;0,I7='الافتراضات'!$C$118-1),1,0)+IF(AND('الافتراضات'!$C$112=1,'الافتراضات'!$D$119&gt;0,I7='الافتراضات'!$C$119-1),1,0)+IF(AND('الافتراضات'!$C$112=1,'الافتراضات'!$D$120&gt;0,I7='الافتراضات'!$C$120-1),1,0)+IF(AND('الافتراضات'!$C$112=1,'الافتراضات'!$D$121&gt;0,I7='الافتراضات'!$C$121-1),1,0)+IF(AND('الافتراضات'!$C$112=1,'الافتراضات'!$D$122&gt;0,I7='الافتراضات'!$C$122-1),1,0)</f>
        <v/>
      </c>
      <c r="J48" s="43">
        <f>IF(AND('الافتراضات'!$C$112=1,'الافتراضات'!$D$117&gt;0,J7='الافتراضات'!$C$117-1),1,0)+IF(AND('الافتراضات'!$C$112=1,'الافتراضات'!$D$118&gt;0,J7='الافتراضات'!$C$118-1),1,0)+IF(AND('الافتراضات'!$C$112=1,'الافتراضات'!$D$119&gt;0,J7='الافتراضات'!$C$119-1),1,0)+IF(AND('الافتراضات'!$C$112=1,'الافتراضات'!$D$120&gt;0,J7='الافتراضات'!$C$120-1),1,0)+IF(AND('الافتراضات'!$C$112=1,'الافتراضات'!$D$121&gt;0,J7='الافتراضات'!$C$121-1),1,0)+IF(AND('الافتراضات'!$C$112=1,'الافتراضات'!$D$122&gt;0,J7='الافتراضات'!$C$122-1),1,0)</f>
        <v/>
      </c>
      <c r="K48" s="43">
        <f>IF(AND('الافتراضات'!$C$112=1,'الافتراضات'!$D$117&gt;0,K7='الافتراضات'!$C$117-1),1,0)+IF(AND('الافتراضات'!$C$112=1,'الافتراضات'!$D$118&gt;0,K7='الافتراضات'!$C$118-1),1,0)+IF(AND('الافتراضات'!$C$112=1,'الافتراضات'!$D$119&gt;0,K7='الافتراضات'!$C$119-1),1,0)+IF(AND('الافتراضات'!$C$112=1,'الافتراضات'!$D$120&gt;0,K7='الافتراضات'!$C$120-1),1,0)+IF(AND('الافتراضات'!$C$112=1,'الافتراضات'!$D$121&gt;0,K7='الافتراضات'!$C$121-1),1,0)+IF(AND('الافتراضات'!$C$112=1,'الافتراضات'!$D$122&gt;0,K7='الافتراضات'!$C$122-1),1,0)</f>
        <v/>
      </c>
      <c r="L48" s="43">
        <f>IF(AND('الافتراضات'!$C$112=1,'الافتراضات'!$D$117&gt;0,L7='الافتراضات'!$C$117-1),1,0)+IF(AND('الافتراضات'!$C$112=1,'الافتراضات'!$D$118&gt;0,L7='الافتراضات'!$C$118-1),1,0)+IF(AND('الافتراضات'!$C$112=1,'الافتراضات'!$D$119&gt;0,L7='الافتراضات'!$C$119-1),1,0)+IF(AND('الافتراضات'!$C$112=1,'الافتراضات'!$D$120&gt;0,L7='الافتراضات'!$C$120-1),1,0)+IF(AND('الافتراضات'!$C$112=1,'الافتراضات'!$D$121&gt;0,L7='الافتراضات'!$C$121-1),1,0)+IF(AND('الافتراضات'!$C$112=1,'الافتراضات'!$D$122&gt;0,L7='الافتراضات'!$C$122-1),1,0)</f>
        <v/>
      </c>
      <c r="M48" s="43">
        <f>IF(AND('الافتراضات'!$C$112=1,'الافتراضات'!$D$117&gt;0,M7='الافتراضات'!$C$117-1),1,0)+IF(AND('الافتراضات'!$C$112=1,'الافتراضات'!$D$118&gt;0,M7='الافتراضات'!$C$118-1),1,0)+IF(AND('الافتراضات'!$C$112=1,'الافتراضات'!$D$119&gt;0,M7='الافتراضات'!$C$119-1),1,0)+IF(AND('الافتراضات'!$C$112=1,'الافتراضات'!$D$120&gt;0,M7='الافتراضات'!$C$120-1),1,0)+IF(AND('الافتراضات'!$C$112=1,'الافتراضات'!$D$121&gt;0,M7='الافتراضات'!$C$121-1),1,0)+IF(AND('الافتراضات'!$C$112=1,'الافتراضات'!$D$122&gt;0,M7='الافتراضات'!$C$122-1),1,0)</f>
        <v/>
      </c>
      <c r="N48" s="43">
        <f>IF(AND('الافتراضات'!$C$112=1,'الافتراضات'!$D$117&gt;0,N7='الافتراضات'!$C$117-1),1,0)+IF(AND('الافتراضات'!$C$112=1,'الافتراضات'!$D$118&gt;0,N7='الافتراضات'!$C$118-1),1,0)+IF(AND('الافتراضات'!$C$112=1,'الافتراضات'!$D$119&gt;0,N7='الافتراضات'!$C$119-1),1,0)+IF(AND('الافتراضات'!$C$112=1,'الافتراضات'!$D$120&gt;0,N7='الافتراضات'!$C$120-1),1,0)+IF(AND('الافتراضات'!$C$112=1,'الافتراضات'!$D$121&gt;0,N7='الافتراضات'!$C$121-1),1,0)+IF(AND('الافتراضات'!$C$112=1,'الافتراضات'!$D$122&gt;0,N7='الافتراضات'!$C$122-1),1,0)</f>
        <v/>
      </c>
      <c r="O48" s="43">
        <f>IF(AND('الافتراضات'!$C$112=1,'الافتراضات'!$D$117&gt;0,O7='الافتراضات'!$C$117-1),1,0)+IF(AND('الافتراضات'!$C$112=1,'الافتراضات'!$D$118&gt;0,O7='الافتراضات'!$C$118-1),1,0)+IF(AND('الافتراضات'!$C$112=1,'الافتراضات'!$D$119&gt;0,O7='الافتراضات'!$C$119-1),1,0)+IF(AND('الافتراضات'!$C$112=1,'الافتراضات'!$D$120&gt;0,O7='الافتراضات'!$C$120-1),1,0)+IF(AND('الافتراضات'!$C$112=1,'الافتراضات'!$D$121&gt;0,O7='الافتراضات'!$C$121-1),1,0)+IF(AND('الافتراضات'!$C$112=1,'الافتراضات'!$D$122&gt;0,O7='الافتراضات'!$C$122-1),1,0)</f>
        <v/>
      </c>
      <c r="P48" s="43">
        <f>IF(AND('الافتراضات'!$C$112=1,'الافتراضات'!$D$117&gt;0,P7='الافتراضات'!$C$117-1),1,0)+IF(AND('الافتراضات'!$C$112=1,'الافتراضات'!$D$118&gt;0,P7='الافتراضات'!$C$118-1),1,0)+IF(AND('الافتراضات'!$C$112=1,'الافتراضات'!$D$119&gt;0,P7='الافتراضات'!$C$119-1),1,0)+IF(AND('الافتراضات'!$C$112=1,'الافتراضات'!$D$120&gt;0,P7='الافتراضات'!$C$120-1),1,0)+IF(AND('الافتراضات'!$C$112=1,'الافتراضات'!$D$121&gt;0,P7='الافتراضات'!$C$121-1),1,0)+IF(AND('الافتراضات'!$C$112=1,'الافتراضات'!$D$122&gt;0,P7='الافتراضات'!$C$122-1),1,0)</f>
        <v/>
      </c>
      <c r="Q48" s="43">
        <f>IF(AND('الافتراضات'!$C$112=1,'الافتراضات'!$D$117&gt;0,Q7='الافتراضات'!$C$117-1),1,0)+IF(AND('الافتراضات'!$C$112=1,'الافتراضات'!$D$118&gt;0,Q7='الافتراضات'!$C$118-1),1,0)+IF(AND('الافتراضات'!$C$112=1,'الافتراضات'!$D$119&gt;0,Q7='الافتراضات'!$C$119-1),1,0)+IF(AND('الافتراضات'!$C$112=1,'الافتراضات'!$D$120&gt;0,Q7='الافتراضات'!$C$120-1),1,0)+IF(AND('الافتراضات'!$C$112=1,'الافتراضات'!$D$121&gt;0,Q7='الافتراضات'!$C$121-1),1,0)+IF(AND('الافتراضات'!$C$112=1,'الافتراضات'!$D$122&gt;0,Q7='الافتراضات'!$C$122-1),1,0)</f>
        <v/>
      </c>
      <c r="R48" s="43">
        <f>IF(AND('الافتراضات'!$C$112=1,'الافتراضات'!$D$117&gt;0,R7='الافتراضات'!$C$117-1),1,0)+IF(AND('الافتراضات'!$C$112=1,'الافتراضات'!$D$118&gt;0,R7='الافتراضات'!$C$118-1),1,0)+IF(AND('الافتراضات'!$C$112=1,'الافتراضات'!$D$119&gt;0,R7='الافتراضات'!$C$119-1),1,0)+IF(AND('الافتراضات'!$C$112=1,'الافتراضات'!$D$120&gt;0,R7='الافتراضات'!$C$120-1),1,0)+IF(AND('الافتراضات'!$C$112=1,'الافتراضات'!$D$121&gt;0,R7='الافتراضات'!$C$121-1),1,0)+IF(AND('الافتراضات'!$C$112=1,'الافتراضات'!$D$122&gt;0,R7='الافتراضات'!$C$122-1),1,0)</f>
        <v/>
      </c>
      <c r="S48" s="43">
        <f>IF(AND('الافتراضات'!$C$112=1,'الافتراضات'!$D$117&gt;0,S7='الافتراضات'!$C$117-1),1,0)+IF(AND('الافتراضات'!$C$112=1,'الافتراضات'!$D$118&gt;0,S7='الافتراضات'!$C$118-1),1,0)+IF(AND('الافتراضات'!$C$112=1,'الافتراضات'!$D$119&gt;0,S7='الافتراضات'!$C$119-1),1,0)+IF(AND('الافتراضات'!$C$112=1,'الافتراضات'!$D$120&gt;0,S7='الافتراضات'!$C$120-1),1,0)+IF(AND('الافتراضات'!$C$112=1,'الافتراضات'!$D$121&gt;0,S7='الافتراضات'!$C$121-1),1,0)+IF(AND('الافتراضات'!$C$112=1,'الافتراضات'!$D$122&gt;0,S7='الافتراضات'!$C$122-1),1,0)</f>
        <v/>
      </c>
      <c r="T48" s="43">
        <f>IF(AND('الافتراضات'!$C$112=1,'الافتراضات'!$D$117&gt;0,T7='الافتراضات'!$C$117-1),1,0)+IF(AND('الافتراضات'!$C$112=1,'الافتراضات'!$D$118&gt;0,T7='الافتراضات'!$C$118-1),1,0)+IF(AND('الافتراضات'!$C$112=1,'الافتراضات'!$D$119&gt;0,T7='الافتراضات'!$C$119-1),1,0)+IF(AND('الافتراضات'!$C$112=1,'الافتراضات'!$D$120&gt;0,T7='الافتراضات'!$C$120-1),1,0)+IF(AND('الافتراضات'!$C$112=1,'الافتراضات'!$D$121&gt;0,T7='الافتراضات'!$C$121-1),1,0)+IF(AND('الافتراضات'!$C$112=1,'الافتراضات'!$D$122&gt;0,T7='الافتراضات'!$C$122-1),1,0)</f>
        <v/>
      </c>
      <c r="U48" s="43">
        <f>IF(AND('الافتراضات'!$C$112=1,'الافتراضات'!$D$117&gt;0,U7='الافتراضات'!$C$117-1),1,0)+IF(AND('الافتراضات'!$C$112=1,'الافتراضات'!$D$118&gt;0,U7='الافتراضات'!$C$118-1),1,0)+IF(AND('الافتراضات'!$C$112=1,'الافتراضات'!$D$119&gt;0,U7='الافتراضات'!$C$119-1),1,0)+IF(AND('الافتراضات'!$C$112=1,'الافتراضات'!$D$120&gt;0,U7='الافتراضات'!$C$120-1),1,0)+IF(AND('الافتراضات'!$C$112=1,'الافتراضات'!$D$121&gt;0,U7='الافتراضات'!$C$121-1),1,0)+IF(AND('الافتراضات'!$C$112=1,'الافتراضات'!$D$122&gt;0,U7='الافتراضات'!$C$122-1),1,0)</f>
        <v/>
      </c>
      <c r="V48" s="43">
        <f>IF(AND('الافتراضات'!$C$112=1,'الافتراضات'!$D$117&gt;0,V7='الافتراضات'!$C$117-1),1,0)+IF(AND('الافتراضات'!$C$112=1,'الافتراضات'!$D$118&gt;0,V7='الافتراضات'!$C$118-1),1,0)+IF(AND('الافتراضات'!$C$112=1,'الافتراضات'!$D$119&gt;0,V7='الافتراضات'!$C$119-1),1,0)+IF(AND('الافتراضات'!$C$112=1,'الافتراضات'!$D$120&gt;0,V7='الافتراضات'!$C$120-1),1,0)+IF(AND('الافتراضات'!$C$112=1,'الافتراضات'!$D$121&gt;0,V7='الافتراضات'!$C$121-1),1,0)+IF(AND('الافتراضات'!$C$112=1,'الافتراضات'!$D$122&gt;0,V7='الافتراضات'!$C$122-1),1,0)</f>
        <v/>
      </c>
      <c r="W48" s="43">
        <f>IF(AND('الافتراضات'!$C$112=1,'الافتراضات'!$D$117&gt;0,W7='الافتراضات'!$C$117-1),1,0)+IF(AND('الافتراضات'!$C$112=1,'الافتراضات'!$D$118&gt;0,W7='الافتراضات'!$C$118-1),1,0)+IF(AND('الافتراضات'!$C$112=1,'الافتراضات'!$D$119&gt;0,W7='الافتراضات'!$C$119-1),1,0)+IF(AND('الافتراضات'!$C$112=1,'الافتراضات'!$D$120&gt;0,W7='الافتراضات'!$C$120-1),1,0)+IF(AND('الافتراضات'!$C$112=1,'الافتراضات'!$D$121&gt;0,W7='الافتراضات'!$C$121-1),1,0)+IF(AND('الافتراضات'!$C$112=1,'الافتراضات'!$D$122&gt;0,W7='الافتراضات'!$C$122-1),1,0)</f>
        <v/>
      </c>
      <c r="X48" s="43">
        <f>IF(AND('الافتراضات'!$C$112=1,'الافتراضات'!$D$117&gt;0,X7='الافتراضات'!$C$117-1),1,0)+IF(AND('الافتراضات'!$C$112=1,'الافتراضات'!$D$118&gt;0,X7='الافتراضات'!$C$118-1),1,0)+IF(AND('الافتراضات'!$C$112=1,'الافتراضات'!$D$119&gt;0,X7='الافتراضات'!$C$119-1),1,0)+IF(AND('الافتراضات'!$C$112=1,'الافتراضات'!$D$120&gt;0,X7='الافتراضات'!$C$120-1),1,0)+IF(AND('الافتراضات'!$C$112=1,'الافتراضات'!$D$121&gt;0,X7='الافتراضات'!$C$121-1),1,0)+IF(AND('الافتراضات'!$C$112=1,'الافتراضات'!$D$122&gt;0,X7='الافتراضات'!$C$122-1),1,0)</f>
        <v/>
      </c>
      <c r="Y48" s="43">
        <f>IF(AND('الافتراضات'!$C$112=1,'الافتراضات'!$D$117&gt;0,Y7='الافتراضات'!$C$117-1),1,0)+IF(AND('الافتراضات'!$C$112=1,'الافتراضات'!$D$118&gt;0,Y7='الافتراضات'!$C$118-1),1,0)+IF(AND('الافتراضات'!$C$112=1,'الافتراضات'!$D$119&gt;0,Y7='الافتراضات'!$C$119-1),1,0)+IF(AND('الافتراضات'!$C$112=1,'الافتراضات'!$D$120&gt;0,Y7='الافتراضات'!$C$120-1),1,0)+IF(AND('الافتراضات'!$C$112=1,'الافتراضات'!$D$121&gt;0,Y7='الافتراضات'!$C$121-1),1,0)+IF(AND('الافتراضات'!$C$112=1,'الافتراضات'!$D$122&gt;0,Y7='الافتراضات'!$C$122-1),1,0)</f>
        <v/>
      </c>
      <c r="Z48" s="43">
        <f>IF(AND('الافتراضات'!$C$112=1,'الافتراضات'!$D$117&gt;0,Z7='الافتراضات'!$C$117-1),1,0)+IF(AND('الافتراضات'!$C$112=1,'الافتراضات'!$D$118&gt;0,Z7='الافتراضات'!$C$118-1),1,0)+IF(AND('الافتراضات'!$C$112=1,'الافتراضات'!$D$119&gt;0,Z7='الافتراضات'!$C$119-1),1,0)+IF(AND('الافتراضات'!$C$112=1,'الافتراضات'!$D$120&gt;0,Z7='الافتراضات'!$C$120-1),1,0)+IF(AND('الافتراضات'!$C$112=1,'الافتراضات'!$D$121&gt;0,Z7='الافتراضات'!$C$121-1),1,0)+IF(AND('الافتراضات'!$C$112=1,'الافتراضات'!$D$122&gt;0,Z7='الافتراضات'!$C$122-1),1,0)</f>
        <v/>
      </c>
      <c r="AA48" s="43">
        <f>IF(AND('الافتراضات'!$C$112=1,'الافتراضات'!$D$117&gt;0,AA7='الافتراضات'!$C$117-1),1,0)+IF(AND('الافتراضات'!$C$112=1,'الافتراضات'!$D$118&gt;0,AA7='الافتراضات'!$C$118-1),1,0)+IF(AND('الافتراضات'!$C$112=1,'الافتراضات'!$D$119&gt;0,AA7='الافتراضات'!$C$119-1),1,0)+IF(AND('الافتراضات'!$C$112=1,'الافتراضات'!$D$120&gt;0,AA7='الافتراضات'!$C$120-1),1,0)+IF(AND('الافتراضات'!$C$112=1,'الافتراضات'!$D$121&gt;0,AA7='الافتراضات'!$C$121-1),1,0)+IF(AND('الافتراضات'!$C$112=1,'الافتراضات'!$D$122&gt;0,AA7='الافتراضات'!$C$122-1),1,0)</f>
        <v/>
      </c>
      <c r="AB48" s="43">
        <f>IF(AND('الافتراضات'!$C$112=1,'الافتراضات'!$D$117&gt;0,AB7='الافتراضات'!$C$117-1),1,0)+IF(AND('الافتراضات'!$C$112=1,'الافتراضات'!$D$118&gt;0,AB7='الافتراضات'!$C$118-1),1,0)+IF(AND('الافتراضات'!$C$112=1,'الافتراضات'!$D$119&gt;0,AB7='الافتراضات'!$C$119-1),1,0)+IF(AND('الافتراضات'!$C$112=1,'الافتراضات'!$D$120&gt;0,AB7='الافتراضات'!$C$120-1),1,0)+IF(AND('الافتراضات'!$C$112=1,'الافتراضات'!$D$121&gt;0,AB7='الافتراضات'!$C$121-1),1,0)+IF(AND('الافتراضات'!$C$112=1,'الافتراضات'!$D$122&gt;0,AB7='الافتراضات'!$C$122-1),1,0)</f>
        <v/>
      </c>
      <c r="AC48" s="43">
        <f>IF(AND('الافتراضات'!$C$112=1,'الافتراضات'!$D$117&gt;0,AC7='الافتراضات'!$C$117-1),1,0)+IF(AND('الافتراضات'!$C$112=1,'الافتراضات'!$D$118&gt;0,AC7='الافتراضات'!$C$118-1),1,0)+IF(AND('الافتراضات'!$C$112=1,'الافتراضات'!$D$119&gt;0,AC7='الافتراضات'!$C$119-1),1,0)+IF(AND('الافتراضات'!$C$112=1,'الافتراضات'!$D$120&gt;0,AC7='الافتراضات'!$C$120-1),1,0)+IF(AND('الافتراضات'!$C$112=1,'الافتراضات'!$D$121&gt;0,AC7='الافتراضات'!$C$121-1),1,0)+IF(AND('الافتراضات'!$C$112=1,'الافتراضات'!$D$122&gt;0,AC7='الافتراضات'!$C$122-1),1,0)</f>
        <v/>
      </c>
      <c r="AD48" s="43">
        <f>IF(AND('الافتراضات'!$C$112=1,'الافتراضات'!$D$117&gt;0,AD7='الافتراضات'!$C$117-1),1,0)+IF(AND('الافتراضات'!$C$112=1,'الافتراضات'!$D$118&gt;0,AD7='الافتراضات'!$C$118-1),1,0)+IF(AND('الافتراضات'!$C$112=1,'الافتراضات'!$D$119&gt;0,AD7='الافتراضات'!$C$119-1),1,0)+IF(AND('الافتراضات'!$C$112=1,'الافتراضات'!$D$120&gt;0,AD7='الافتراضات'!$C$120-1),1,0)+IF(AND('الافتراضات'!$C$112=1,'الافتراضات'!$D$121&gt;0,AD7='الافتراضات'!$C$121-1),1,0)+IF(AND('الافتراضات'!$C$112=1,'الافتراضات'!$D$122&gt;0,AD7='الافتراضات'!$C$122-1),1,0)</f>
        <v/>
      </c>
      <c r="AE48" s="43">
        <f>IF(AND('الافتراضات'!$C$112=1,'الافتراضات'!$D$117&gt;0,AE7='الافتراضات'!$C$117-1),1,0)+IF(AND('الافتراضات'!$C$112=1,'الافتراضات'!$D$118&gt;0,AE7='الافتراضات'!$C$118-1),1,0)+IF(AND('الافتراضات'!$C$112=1,'الافتراضات'!$D$119&gt;0,AE7='الافتراضات'!$C$119-1),1,0)+IF(AND('الافتراضات'!$C$112=1,'الافتراضات'!$D$120&gt;0,AE7='الافتراضات'!$C$120-1),1,0)+IF(AND('الافتراضات'!$C$112=1,'الافتراضات'!$D$121&gt;0,AE7='الافتراضات'!$C$121-1),1,0)+IF(AND('الافتراضات'!$C$112=1,'الافتراضات'!$D$122&gt;0,AE7='الافتراضات'!$C$122-1),1,0)</f>
        <v/>
      </c>
      <c r="AF48" s="43">
        <f>IF(AND('الافتراضات'!$C$112=1,'الافتراضات'!$D$117&gt;0,AF7='الافتراضات'!$C$117-1),1,0)+IF(AND('الافتراضات'!$C$112=1,'الافتراضات'!$D$118&gt;0,AF7='الافتراضات'!$C$118-1),1,0)+IF(AND('الافتراضات'!$C$112=1,'الافتراضات'!$D$119&gt;0,AF7='الافتراضات'!$C$119-1),1,0)+IF(AND('الافتراضات'!$C$112=1,'الافتراضات'!$D$120&gt;0,AF7='الافتراضات'!$C$120-1),1,0)+IF(AND('الافتراضات'!$C$112=1,'الافتراضات'!$D$121&gt;0,AF7='الافتراضات'!$C$121-1),1,0)+IF(AND('الافتراضات'!$C$112=1,'الافتراضات'!$D$122&gt;0,AF7='الافتراضات'!$C$122-1),1,0)</f>
        <v/>
      </c>
      <c r="AG48" s="43">
        <f>IF(AND('الافتراضات'!$C$112=1,'الافتراضات'!$D$117&gt;0,AG7='الافتراضات'!$C$117-1),1,0)+IF(AND('الافتراضات'!$C$112=1,'الافتراضات'!$D$118&gt;0,AG7='الافتراضات'!$C$118-1),1,0)+IF(AND('الافتراضات'!$C$112=1,'الافتراضات'!$D$119&gt;0,AG7='الافتراضات'!$C$119-1),1,0)+IF(AND('الافتراضات'!$C$112=1,'الافتراضات'!$D$120&gt;0,AG7='الافتراضات'!$C$120-1),1,0)+IF(AND('الافتراضات'!$C$112=1,'الافتراضات'!$D$121&gt;0,AG7='الافتراضات'!$C$121-1),1,0)+IF(AND('الافتراضات'!$C$112=1,'الافتراضات'!$D$122&gt;0,AG7='الافتراضات'!$C$122-1),1,0)</f>
        <v/>
      </c>
      <c r="AH48" s="43">
        <f>IF(AND('الافتراضات'!$C$112=1,'الافتراضات'!$D$117&gt;0,AH7='الافتراضات'!$C$117-1),1,0)+IF(AND('الافتراضات'!$C$112=1,'الافتراضات'!$D$118&gt;0,AH7='الافتراضات'!$C$118-1),1,0)+IF(AND('الافتراضات'!$C$112=1,'الافتراضات'!$D$119&gt;0,AH7='الافتراضات'!$C$119-1),1,0)+IF(AND('الافتراضات'!$C$112=1,'الافتراضات'!$D$120&gt;0,AH7='الافتراضات'!$C$120-1),1,0)+IF(AND('الافتراضات'!$C$112=1,'الافتراضات'!$D$121&gt;0,AH7='الافتراضات'!$C$121-1),1,0)+IF(AND('الافتراضات'!$C$112=1,'الافتراضات'!$D$122&gt;0,AH7='الافتراضات'!$C$122-1),1,0)</f>
        <v/>
      </c>
      <c r="AI48" s="43">
        <f>IF(AND('الافتراضات'!$C$112=1,'الافتراضات'!$D$117&gt;0,AI7='الافتراضات'!$C$117-1),1,0)+IF(AND('الافتراضات'!$C$112=1,'الافتراضات'!$D$118&gt;0,AI7='الافتراضات'!$C$118-1),1,0)+IF(AND('الافتراضات'!$C$112=1,'الافتراضات'!$D$119&gt;0,AI7='الافتراضات'!$C$119-1),1,0)+IF(AND('الافتراضات'!$C$112=1,'الافتراضات'!$D$120&gt;0,AI7='الافتراضات'!$C$120-1),1,0)+IF(AND('الافتراضات'!$C$112=1,'الافتراضات'!$D$121&gt;0,AI7='الافتراضات'!$C$121-1),1,0)+IF(AND('الافتراضات'!$C$112=1,'الافتراضات'!$D$122&gt;0,AI7='الافتراضات'!$C$122-1),1,0)</f>
        <v/>
      </c>
      <c r="AJ48" s="43">
        <f>IF(AND('الافتراضات'!$C$112=1,'الافتراضات'!$D$117&gt;0,AJ7='الافتراضات'!$C$117-1),1,0)+IF(AND('الافتراضات'!$C$112=1,'الافتراضات'!$D$118&gt;0,AJ7='الافتراضات'!$C$118-1),1,0)+IF(AND('الافتراضات'!$C$112=1,'الافتراضات'!$D$119&gt;0,AJ7='الافتراضات'!$C$119-1),1,0)+IF(AND('الافتراضات'!$C$112=1,'الافتراضات'!$D$120&gt;0,AJ7='الافتراضات'!$C$120-1),1,0)+IF(AND('الافتراضات'!$C$112=1,'الافتراضات'!$D$121&gt;0,AJ7='الافتراضات'!$C$121-1),1,0)+IF(AND('الافتراضات'!$C$112=1,'الافتراضات'!$D$122&gt;0,AJ7='الافتراضات'!$C$122-1),1,0)</f>
        <v/>
      </c>
      <c r="AK48" s="43">
        <f>IF(AND('الافتراضات'!$C$112=1,'الافتراضات'!$D$117&gt;0,AK7='الافتراضات'!$C$117-1),1,0)+IF(AND('الافتراضات'!$C$112=1,'الافتراضات'!$D$118&gt;0,AK7='الافتراضات'!$C$118-1),1,0)+IF(AND('الافتراضات'!$C$112=1,'الافتراضات'!$D$119&gt;0,AK7='الافتراضات'!$C$119-1),1,0)+IF(AND('الافتراضات'!$C$112=1,'الافتراضات'!$D$120&gt;0,AK7='الافتراضات'!$C$120-1),1,0)+IF(AND('الافتراضات'!$C$112=1,'الافتراضات'!$D$121&gt;0,AK7='الافتراضات'!$C$121-1),1,0)+IF(AND('الافتراضات'!$C$112=1,'الافتراضات'!$D$122&gt;0,AK7='الافتراضات'!$C$122-1),1,0)</f>
        <v/>
      </c>
      <c r="AL48" s="43">
        <f>IF(AND('الافتراضات'!$C$112=1,'الافتراضات'!$D$117&gt;0,AL7='الافتراضات'!$C$117-1),1,0)+IF(AND('الافتراضات'!$C$112=1,'الافتراضات'!$D$118&gt;0,AL7='الافتراضات'!$C$118-1),1,0)+IF(AND('الافتراضات'!$C$112=1,'الافتراضات'!$D$119&gt;0,AL7='الافتراضات'!$C$119-1),1,0)+IF(AND('الافتراضات'!$C$112=1,'الافتراضات'!$D$120&gt;0,AL7='الافتراضات'!$C$120-1),1,0)+IF(AND('الافتراضات'!$C$112=1,'الافتراضات'!$D$121&gt;0,AL7='الافتراضات'!$C$121-1),1,0)+IF(AND('الافتراضات'!$C$112=1,'الافتراضات'!$D$122&gt;0,AL7='الافتراضات'!$C$122-1),1,0)</f>
        <v/>
      </c>
      <c r="AM48" s="43">
        <f>IF(AND('الافتراضات'!$C$112=1,'الافتراضات'!$D$117&gt;0,AM7='الافتراضات'!$C$117-1),1,0)+IF(AND('الافتراضات'!$C$112=1,'الافتراضات'!$D$118&gt;0,AM7='الافتراضات'!$C$118-1),1,0)+IF(AND('الافتراضات'!$C$112=1,'الافتراضات'!$D$119&gt;0,AM7='الافتراضات'!$C$119-1),1,0)+IF(AND('الافتراضات'!$C$112=1,'الافتراضات'!$D$120&gt;0,AM7='الافتراضات'!$C$120-1),1,0)+IF(AND('الافتراضات'!$C$112=1,'الافتراضات'!$D$121&gt;0,AM7='الافتراضات'!$C$121-1),1,0)+IF(AND('الافتراضات'!$C$112=1,'الافتراضات'!$D$122&gt;0,AM7='الافتراضات'!$C$122-1),1,0)</f>
        <v/>
      </c>
      <c r="AN48" s="43">
        <f>IF(AND('الافتراضات'!$C$112=1,'الافتراضات'!$D$117&gt;0,AN7='الافتراضات'!$C$117-1),1,0)+IF(AND('الافتراضات'!$C$112=1,'الافتراضات'!$D$118&gt;0,AN7='الافتراضات'!$C$118-1),1,0)+IF(AND('الافتراضات'!$C$112=1,'الافتراضات'!$D$119&gt;0,AN7='الافتراضات'!$C$119-1),1,0)+IF(AND('الافتراضات'!$C$112=1,'الافتراضات'!$D$120&gt;0,AN7='الافتراضات'!$C$120-1),1,0)+IF(AND('الافتراضات'!$C$112=1,'الافتراضات'!$D$121&gt;0,AN7='الافتراضات'!$C$121-1),1,0)+IF(AND('الافتراضات'!$C$112=1,'الافتراضات'!$D$122&gt;0,AN7='الافتراضات'!$C$122-1),1,0)</f>
        <v/>
      </c>
      <c r="AO48" s="43">
        <f>IF(AND('الافتراضات'!$C$112=1,'الافتراضات'!$D$117&gt;0,AO7='الافتراضات'!$C$117-1),1,0)+IF(AND('الافتراضات'!$C$112=1,'الافتراضات'!$D$118&gt;0,AO7='الافتراضات'!$C$118-1),1,0)+IF(AND('الافتراضات'!$C$112=1,'الافتراضات'!$D$119&gt;0,AO7='الافتراضات'!$C$119-1),1,0)+IF(AND('الافتراضات'!$C$112=1,'الافتراضات'!$D$120&gt;0,AO7='الافتراضات'!$C$120-1),1,0)+IF(AND('الافتراضات'!$C$112=1,'الافتراضات'!$D$121&gt;0,AO7='الافتراضات'!$C$121-1),1,0)+IF(AND('الافتراضات'!$C$112=1,'الافتراضات'!$D$122&gt;0,AO7='الافتراضات'!$C$122-1),1,0)</f>
        <v/>
      </c>
      <c r="AP48" s="43">
        <f>IF(AND('الافتراضات'!$C$112=1,'الافتراضات'!$D$117&gt;0,AP7='الافتراضات'!$C$117-1),1,0)+IF(AND('الافتراضات'!$C$112=1,'الافتراضات'!$D$118&gt;0,AP7='الافتراضات'!$C$118-1),1,0)+IF(AND('الافتراضات'!$C$112=1,'الافتراضات'!$D$119&gt;0,AP7='الافتراضات'!$C$119-1),1,0)+IF(AND('الافتراضات'!$C$112=1,'الافتراضات'!$D$120&gt;0,AP7='الافتراضات'!$C$120-1),1,0)+IF(AND('الافتراضات'!$C$112=1,'الافتراضات'!$D$121&gt;0,AP7='الافتراضات'!$C$121-1),1,0)+IF(AND('الافتراضات'!$C$112=1,'الافتراضات'!$D$122&gt;0,AP7='الافتراضات'!$C$122-1),1,0)</f>
        <v/>
      </c>
      <c r="AQ48" s="43">
        <f>IF(AND('الافتراضات'!$C$112=1,'الافتراضات'!$D$117&gt;0,AQ7='الافتراضات'!$C$117-1),1,0)+IF(AND('الافتراضات'!$C$112=1,'الافتراضات'!$D$118&gt;0,AQ7='الافتراضات'!$C$118-1),1,0)+IF(AND('الافتراضات'!$C$112=1,'الافتراضات'!$D$119&gt;0,AQ7='الافتراضات'!$C$119-1),1,0)+IF(AND('الافتراضات'!$C$112=1,'الافتراضات'!$D$120&gt;0,AQ7='الافتراضات'!$C$120-1),1,0)+IF(AND('الافتراضات'!$C$112=1,'الافتراضات'!$D$121&gt;0,AQ7='الافتراضات'!$C$121-1),1,0)+IF(AND('الافتراضات'!$C$112=1,'الافتراضات'!$D$122&gt;0,AQ7='الافتراضات'!$C$122-1),1,0)</f>
        <v/>
      </c>
      <c r="AR48" s="43">
        <f>IF(AND('الافتراضات'!$C$112=1,'الافتراضات'!$D$117&gt;0,AR7='الافتراضات'!$C$117-1),1,0)+IF(AND('الافتراضات'!$C$112=1,'الافتراضات'!$D$118&gt;0,AR7='الافتراضات'!$C$118-1),1,0)+IF(AND('الافتراضات'!$C$112=1,'الافتراضات'!$D$119&gt;0,AR7='الافتراضات'!$C$119-1),1,0)+IF(AND('الافتراضات'!$C$112=1,'الافتراضات'!$D$120&gt;0,AR7='الافتراضات'!$C$120-1),1,0)+IF(AND('الافتراضات'!$C$112=1,'الافتراضات'!$D$121&gt;0,AR7='الافتراضات'!$C$121-1),1,0)+IF(AND('الافتراضات'!$C$112=1,'الافتراضات'!$D$122&gt;0,AR7='الافتراضات'!$C$122-1),1,0)</f>
        <v/>
      </c>
      <c r="AS48" s="43">
        <f>IF(AND('الافتراضات'!$C$112=1,'الافتراضات'!$D$117&gt;0,AS7='الافتراضات'!$C$117-1),1,0)+IF(AND('الافتراضات'!$C$112=1,'الافتراضات'!$D$118&gt;0,AS7='الافتراضات'!$C$118-1),1,0)+IF(AND('الافتراضات'!$C$112=1,'الافتراضات'!$D$119&gt;0,AS7='الافتراضات'!$C$119-1),1,0)+IF(AND('الافتراضات'!$C$112=1,'الافتراضات'!$D$120&gt;0,AS7='الافتراضات'!$C$120-1),1,0)+IF(AND('الافتراضات'!$C$112=1,'الافتراضات'!$D$121&gt;0,AS7='الافتراضات'!$C$121-1),1,0)+IF(AND('الافتراضات'!$C$112=1,'الافتراضات'!$D$122&gt;0,AS7='الافتراضات'!$C$122-1),1,0)</f>
        <v/>
      </c>
      <c r="AT48" s="43">
        <f>IF(AND('الافتراضات'!$C$112=1,'الافتراضات'!$D$117&gt;0,AT7='الافتراضات'!$C$117-1),1,0)+IF(AND('الافتراضات'!$C$112=1,'الافتراضات'!$D$118&gt;0,AT7='الافتراضات'!$C$118-1),1,0)+IF(AND('الافتراضات'!$C$112=1,'الافتراضات'!$D$119&gt;0,AT7='الافتراضات'!$C$119-1),1,0)+IF(AND('الافتراضات'!$C$112=1,'الافتراضات'!$D$120&gt;0,AT7='الافتراضات'!$C$120-1),1,0)+IF(AND('الافتراضات'!$C$112=1,'الافتراضات'!$D$121&gt;0,AT7='الافتراضات'!$C$121-1),1,0)+IF(AND('الافتراضات'!$C$112=1,'الافتراضات'!$D$122&gt;0,AT7='الافتراضات'!$C$122-1),1,0)</f>
        <v/>
      </c>
      <c r="AU48" s="43">
        <f>IF(AND('الافتراضات'!$C$112=1,'الافتراضات'!$D$117&gt;0,AU7='الافتراضات'!$C$117-1),1,0)+IF(AND('الافتراضات'!$C$112=1,'الافتراضات'!$D$118&gt;0,AU7='الافتراضات'!$C$118-1),1,0)+IF(AND('الافتراضات'!$C$112=1,'الافتراضات'!$D$119&gt;0,AU7='الافتراضات'!$C$119-1),1,0)+IF(AND('الافتراضات'!$C$112=1,'الافتراضات'!$D$120&gt;0,AU7='الافتراضات'!$C$120-1),1,0)+IF(AND('الافتراضات'!$C$112=1,'الافتراضات'!$D$121&gt;0,AU7='الافتراضات'!$C$121-1),1,0)+IF(AND('الافتراضات'!$C$112=1,'الافتراضات'!$D$122&gt;0,AU7='الافتراضات'!$C$122-1),1,0)</f>
        <v/>
      </c>
      <c r="AV48" s="43">
        <f>IF(AND('الافتراضات'!$C$112=1,'الافتراضات'!$D$117&gt;0,AV7='الافتراضات'!$C$117-1),1,0)+IF(AND('الافتراضات'!$C$112=1,'الافتراضات'!$D$118&gt;0,AV7='الافتراضات'!$C$118-1),1,0)+IF(AND('الافتراضات'!$C$112=1,'الافتراضات'!$D$119&gt;0,AV7='الافتراضات'!$C$119-1),1,0)+IF(AND('الافتراضات'!$C$112=1,'الافتراضات'!$D$120&gt;0,AV7='الافتراضات'!$C$120-1),1,0)+IF(AND('الافتراضات'!$C$112=1,'الافتراضات'!$D$121&gt;0,AV7='الافتراضات'!$C$121-1),1,0)+IF(AND('الافتراضات'!$C$112=1,'الافتراضات'!$D$122&gt;0,AV7='الافتراضات'!$C$122-1),1,0)</f>
        <v/>
      </c>
      <c r="AW48" s="43">
        <f>IF(AND('الافتراضات'!$C$112=1,'الافتراضات'!$D$117&gt;0,AW7='الافتراضات'!$C$117-1),1,0)+IF(AND('الافتراضات'!$C$112=1,'الافتراضات'!$D$118&gt;0,AW7='الافتراضات'!$C$118-1),1,0)+IF(AND('الافتراضات'!$C$112=1,'الافتراضات'!$D$119&gt;0,AW7='الافتراضات'!$C$119-1),1,0)+IF(AND('الافتراضات'!$C$112=1,'الافتراضات'!$D$120&gt;0,AW7='الافتراضات'!$C$120-1),1,0)+IF(AND('الافتراضات'!$C$112=1,'الافتراضات'!$D$121&gt;0,AW7='الافتراضات'!$C$121-1),1,0)+IF(AND('الافتراضات'!$C$112=1,'الافتراضات'!$D$122&gt;0,AW7='الافتراضات'!$C$122-1),1,0)</f>
        <v/>
      </c>
      <c r="AX48" s="43">
        <f>IF(AND('الافتراضات'!$C$112=1,'الافتراضات'!$D$117&gt;0,AX7='الافتراضات'!$C$117-1),1,0)+IF(AND('الافتراضات'!$C$112=1,'الافتراضات'!$D$118&gt;0,AX7='الافتراضات'!$C$118-1),1,0)+IF(AND('الافتراضات'!$C$112=1,'الافتراضات'!$D$119&gt;0,AX7='الافتراضات'!$C$119-1),1,0)+IF(AND('الافتراضات'!$C$112=1,'الافتراضات'!$D$120&gt;0,AX7='الافتراضات'!$C$120-1),1,0)+IF(AND('الافتراضات'!$C$112=1,'الافتراضات'!$D$121&gt;0,AX7='الافتراضات'!$C$121-1),1,0)+IF(AND('الافتراضات'!$C$112=1,'الافتراضات'!$D$122&gt;0,AX7='الافتراضات'!$C$122-1),1,0)</f>
        <v/>
      </c>
      <c r="AY48" s="43">
        <f>IF(AND('الافتراضات'!$C$112=1,'الافتراضات'!$D$117&gt;0,AY7='الافتراضات'!$C$117-1),1,0)+IF(AND('الافتراضات'!$C$112=1,'الافتراضات'!$D$118&gt;0,AY7='الافتراضات'!$C$118-1),1,0)+IF(AND('الافتراضات'!$C$112=1,'الافتراضات'!$D$119&gt;0,AY7='الافتراضات'!$C$119-1),1,0)+IF(AND('الافتراضات'!$C$112=1,'الافتراضات'!$D$120&gt;0,AY7='الافتراضات'!$C$120-1),1,0)+IF(AND('الافتراضات'!$C$112=1,'الافتراضات'!$D$121&gt;0,AY7='الافتراضات'!$C$121-1),1,0)+IF(AND('الافتراضات'!$C$112=1,'الافتراضات'!$D$122&gt;0,AY7='الافتراضات'!$C$122-1),1,0)</f>
        <v/>
      </c>
      <c r="AZ48" s="43">
        <f>IF(AND('الافتراضات'!$C$112=1,'الافتراضات'!$D$117&gt;0,AZ7='الافتراضات'!$C$117-1),1,0)+IF(AND('الافتراضات'!$C$112=1,'الافتراضات'!$D$118&gt;0,AZ7='الافتراضات'!$C$118-1),1,0)+IF(AND('الافتراضات'!$C$112=1,'الافتراضات'!$D$119&gt;0,AZ7='الافتراضات'!$C$119-1),1,0)+IF(AND('الافتراضات'!$C$112=1,'الافتراضات'!$D$120&gt;0,AZ7='الافتراضات'!$C$120-1),1,0)+IF(AND('الافتراضات'!$C$112=1,'الافتراضات'!$D$121&gt;0,AZ7='الافتراضات'!$C$121-1),1,0)+IF(AND('الافتراضات'!$C$112=1,'الافتراضات'!$D$122&gt;0,AZ7='الافتراضات'!$C$122-1),1,0)</f>
        <v/>
      </c>
      <c r="BA48" s="43">
        <f>IF(AND('الافتراضات'!$C$112=1,'الافتراضات'!$D$117&gt;0,BA7='الافتراضات'!$C$117-1),1,0)+IF(AND('الافتراضات'!$C$112=1,'الافتراضات'!$D$118&gt;0,BA7='الافتراضات'!$C$118-1),1,0)+IF(AND('الافتراضات'!$C$112=1,'الافتراضات'!$D$119&gt;0,BA7='الافتراضات'!$C$119-1),1,0)+IF(AND('الافتراضات'!$C$112=1,'الافتراضات'!$D$120&gt;0,BA7='الافتراضات'!$C$120-1),1,0)+IF(AND('الافتراضات'!$C$112=1,'الافتراضات'!$D$121&gt;0,BA7='الافتراضات'!$C$121-1),1,0)+IF(AND('الافتراضات'!$C$112=1,'الافتراضات'!$D$122&gt;0,BA7='الافتراضات'!$C$122-1),1,0)</f>
        <v/>
      </c>
      <c r="BB48" s="43">
        <f>IF(AND('الافتراضات'!$C$112=1,'الافتراضات'!$D$117&gt;0,BB7='الافتراضات'!$C$117-1),1,0)+IF(AND('الافتراضات'!$C$112=1,'الافتراضات'!$D$118&gt;0,BB7='الافتراضات'!$C$118-1),1,0)+IF(AND('الافتراضات'!$C$112=1,'الافتراضات'!$D$119&gt;0,BB7='الافتراضات'!$C$119-1),1,0)+IF(AND('الافتراضات'!$C$112=1,'الافتراضات'!$D$120&gt;0,BB7='الافتراضات'!$C$120-1),1,0)+IF(AND('الافتراضات'!$C$112=1,'الافتراضات'!$D$121&gt;0,BB7='الافتراضات'!$C$121-1),1,0)+IF(AND('الافتراضات'!$C$112=1,'الافتراضات'!$D$122&gt;0,BB7='الافتراضات'!$C$122-1),1,0)</f>
        <v/>
      </c>
      <c r="BC48" s="43">
        <f>IF(AND('الافتراضات'!$C$112=1,'الافتراضات'!$D$117&gt;0,BC7='الافتراضات'!$C$117-1),1,0)+IF(AND('الافتراضات'!$C$112=1,'الافتراضات'!$D$118&gt;0,BC7='الافتراضات'!$C$118-1),1,0)+IF(AND('الافتراضات'!$C$112=1,'الافتراضات'!$D$119&gt;0,BC7='الافتراضات'!$C$119-1),1,0)+IF(AND('الافتراضات'!$C$112=1,'الافتراضات'!$D$120&gt;0,BC7='الافتراضات'!$C$120-1),1,0)+IF(AND('الافتراضات'!$C$112=1,'الافتراضات'!$D$121&gt;0,BC7='الافتراضات'!$C$121-1),1,0)+IF(AND('الافتراضات'!$C$112=1,'الافتراضات'!$D$122&gt;0,BC7='الافتراضات'!$C$122-1),1,0)</f>
        <v/>
      </c>
      <c r="BD48" s="43">
        <f>IF(AND('الافتراضات'!$C$112=1,'الافتراضات'!$D$117&gt;0,BD7='الافتراضات'!$C$117-1),1,0)+IF(AND('الافتراضات'!$C$112=1,'الافتراضات'!$D$118&gt;0,BD7='الافتراضات'!$C$118-1),1,0)+IF(AND('الافتراضات'!$C$112=1,'الافتراضات'!$D$119&gt;0,BD7='الافتراضات'!$C$119-1),1,0)+IF(AND('الافتراضات'!$C$112=1,'الافتراضات'!$D$120&gt;0,BD7='الافتراضات'!$C$120-1),1,0)+IF(AND('الافتراضات'!$C$112=1,'الافتراضات'!$D$121&gt;0,BD7='الافتراضات'!$C$121-1),1,0)+IF(AND('الافتراضات'!$C$112=1,'الافتراضات'!$D$122&gt;0,BD7='الافتراضات'!$C$122-1),1,0)</f>
        <v/>
      </c>
      <c r="BE48" s="43">
        <f>IF(AND('الافتراضات'!$C$112=1,'الافتراضات'!$D$117&gt;0,BE7='الافتراضات'!$C$117-1),1,0)+IF(AND('الافتراضات'!$C$112=1,'الافتراضات'!$D$118&gt;0,BE7='الافتراضات'!$C$118-1),1,0)+IF(AND('الافتراضات'!$C$112=1,'الافتراضات'!$D$119&gt;0,BE7='الافتراضات'!$C$119-1),1,0)+IF(AND('الافتراضات'!$C$112=1,'الافتراضات'!$D$120&gt;0,BE7='الافتراضات'!$C$120-1),1,0)+IF(AND('الافتراضات'!$C$112=1,'الافتراضات'!$D$121&gt;0,BE7='الافتراضات'!$C$121-1),1,0)+IF(AND('الافتراضات'!$C$112=1,'الافتراضات'!$D$122&gt;0,BE7='الافتراضات'!$C$122-1),1,0)</f>
        <v/>
      </c>
      <c r="BF48" s="43">
        <f>IF(AND('الافتراضات'!$C$112=1,'الافتراضات'!$D$117&gt;0,BF7='الافتراضات'!$C$117-1),1,0)+IF(AND('الافتراضات'!$C$112=1,'الافتراضات'!$D$118&gt;0,BF7='الافتراضات'!$C$118-1),1,0)+IF(AND('الافتراضات'!$C$112=1,'الافتراضات'!$D$119&gt;0,BF7='الافتراضات'!$C$119-1),1,0)+IF(AND('الافتراضات'!$C$112=1,'الافتراضات'!$D$120&gt;0,BF7='الافتراضات'!$C$120-1),1,0)+IF(AND('الافتراضات'!$C$112=1,'الافتراضات'!$D$121&gt;0,BF7='الافتراضات'!$C$121-1),1,0)+IF(AND('الافتراضات'!$C$112=1,'الافتراضات'!$D$122&gt;0,BF7='الافتراضات'!$C$122-1),1,0)</f>
        <v/>
      </c>
      <c r="BG48" s="43">
        <f>IF(AND('الافتراضات'!$C$112=1,'الافتراضات'!$D$117&gt;0,BG7='الافتراضات'!$C$117-1),1,0)+IF(AND('الافتراضات'!$C$112=1,'الافتراضات'!$D$118&gt;0,BG7='الافتراضات'!$C$118-1),1,0)+IF(AND('الافتراضات'!$C$112=1,'الافتراضات'!$D$119&gt;0,BG7='الافتراضات'!$C$119-1),1,0)+IF(AND('الافتراضات'!$C$112=1,'الافتراضات'!$D$120&gt;0,BG7='الافتراضات'!$C$120-1),1,0)+IF(AND('الافتراضات'!$C$112=1,'الافتراضات'!$D$121&gt;0,BG7='الافتراضات'!$C$121-1),1,0)+IF(AND('الافتراضات'!$C$112=1,'الافتراضات'!$D$122&gt;0,BG7='الافتراضات'!$C$122-1),1,0)</f>
        <v/>
      </c>
      <c r="BH48" s="43">
        <f>IF(AND('الافتراضات'!$C$112=1,'الافتراضات'!$D$117&gt;0,BH7='الافتراضات'!$C$117-1),1,0)+IF(AND('الافتراضات'!$C$112=1,'الافتراضات'!$D$118&gt;0,BH7='الافتراضات'!$C$118-1),1,0)+IF(AND('الافتراضات'!$C$112=1,'الافتراضات'!$D$119&gt;0,BH7='الافتراضات'!$C$119-1),1,0)+IF(AND('الافتراضات'!$C$112=1,'الافتراضات'!$D$120&gt;0,BH7='الافتراضات'!$C$120-1),1,0)+IF(AND('الافتراضات'!$C$112=1,'الافتراضات'!$D$121&gt;0,BH7='الافتراضات'!$C$121-1),1,0)+IF(AND('الافتراضات'!$C$112=1,'الافتراضات'!$D$122&gt;0,BH7='الافتراضات'!$C$122-1),1,0)</f>
        <v/>
      </c>
      <c r="BI48" s="43">
        <f>IF(AND('الافتراضات'!$C$112=1,'الافتراضات'!$D$117&gt;0,BI7='الافتراضات'!$C$117-1),1,0)+IF(AND('الافتراضات'!$C$112=1,'الافتراضات'!$D$118&gt;0,BI7='الافتراضات'!$C$118-1),1,0)+IF(AND('الافتراضات'!$C$112=1,'الافتراضات'!$D$119&gt;0,BI7='الافتراضات'!$C$119-1),1,0)+IF(AND('الافتراضات'!$C$112=1,'الافتراضات'!$D$120&gt;0,BI7='الافتراضات'!$C$120-1),1,0)+IF(AND('الافتراضات'!$C$112=1,'الافتراضات'!$D$121&gt;0,BI7='الافتراضات'!$C$121-1),1,0)+IF(AND('الافتراضات'!$C$112=1,'الافتراضات'!$D$122&gt;0,BI7='الافتراضات'!$C$122-1),1,0)</f>
        <v/>
      </c>
      <c r="BJ48" s="43">
        <f>IF(AND('الافتراضات'!$C$112=1,'الافتراضات'!$D$117&gt;0,BJ7='الافتراضات'!$C$117-1),1,0)+IF(AND('الافتراضات'!$C$112=1,'الافتراضات'!$D$118&gt;0,BJ7='الافتراضات'!$C$118-1),1,0)+IF(AND('الافتراضات'!$C$112=1,'الافتراضات'!$D$119&gt;0,BJ7='الافتراضات'!$C$119-1),1,0)+IF(AND('الافتراضات'!$C$112=1,'الافتراضات'!$D$120&gt;0,BJ7='الافتراضات'!$C$120-1),1,0)+IF(AND('الافتراضات'!$C$112=1,'الافتراضات'!$D$121&gt;0,BJ7='الافتراضات'!$C$121-1),1,0)+IF(AND('الافتراضات'!$C$112=1,'الافتراضات'!$D$122&gt;0,BJ7='الافتراضات'!$C$122-1),1,0)</f>
        <v/>
      </c>
      <c r="BK48" s="43">
        <f>IF(AND('الافتراضات'!$C$112=1,'الافتراضات'!$D$117&gt;0,BK7='الافتراضات'!$C$117-1),1,0)+IF(AND('الافتراضات'!$C$112=1,'الافتراضات'!$D$118&gt;0,BK7='الافتراضات'!$C$118-1),1,0)+IF(AND('الافتراضات'!$C$112=1,'الافتراضات'!$D$119&gt;0,BK7='الافتراضات'!$C$119-1),1,0)+IF(AND('الافتراضات'!$C$112=1,'الافتراضات'!$D$120&gt;0,BK7='الافتراضات'!$C$120-1),1,0)+IF(AND('الافتراضات'!$C$112=1,'الافتراضات'!$D$121&gt;0,BK7='الافتراضات'!$C$121-1),1,0)+IF(AND('الافتراضات'!$C$112=1,'الافتراضات'!$D$122&gt;0,BK7='الافتراضات'!$C$122-1),1,0)</f>
        <v/>
      </c>
      <c r="BL48" s="43">
        <f>IF(AND('الافتراضات'!$C$112=1,'الافتراضات'!$D$117&gt;0,BL7='الافتراضات'!$C$117-1),1,0)+IF(AND('الافتراضات'!$C$112=1,'الافتراضات'!$D$118&gt;0,BL7='الافتراضات'!$C$118-1),1,0)+IF(AND('الافتراضات'!$C$112=1,'الافتراضات'!$D$119&gt;0,BL7='الافتراضات'!$C$119-1),1,0)+IF(AND('الافتراضات'!$C$112=1,'الافتراضات'!$D$120&gt;0,BL7='الافتراضات'!$C$120-1),1,0)+IF(AND('الافتراضات'!$C$112=1,'الافتراضات'!$D$121&gt;0,BL7='الافتراضات'!$C$121-1),1,0)+IF(AND('الافتراضات'!$C$112=1,'الافتراضات'!$D$122&gt;0,BL7='الافتراضات'!$C$122-1),1,0)</f>
        <v/>
      </c>
      <c r="BM48" s="43">
        <f>IF(AND('الافتراضات'!$C$112=1,'الافتراضات'!$D$117&gt;0,BM7='الافتراضات'!$C$117-1),1,0)+IF(AND('الافتراضات'!$C$112=1,'الافتراضات'!$D$118&gt;0,BM7='الافتراضات'!$C$118-1),1,0)+IF(AND('الافتراضات'!$C$112=1,'الافتراضات'!$D$119&gt;0,BM7='الافتراضات'!$C$119-1),1,0)+IF(AND('الافتراضات'!$C$112=1,'الافتراضات'!$D$120&gt;0,BM7='الافتراضات'!$C$120-1),1,0)+IF(AND('الافتراضات'!$C$112=1,'الافتراضات'!$D$121&gt;0,BM7='الافتراضات'!$C$121-1),1,0)+IF(AND('الافتراضات'!$C$112=1,'الافتراضات'!$D$122&gt;0,BM7='الافتراضات'!$C$122-1),1,0)</f>
        <v/>
      </c>
    </row>
    <row r="49"/>
    <row r="50">
      <c r="A50" s="40" t="inlineStr">
        <is>
          <t>إجماليات المجموعة</t>
        </is>
      </c>
      <c r="B50" s="41" t="n"/>
      <c r="C50" s="41" t="n"/>
      <c r="D50" s="41" t="n"/>
      <c r="E50" s="41" t="n"/>
      <c r="F50" s="41" t="n"/>
      <c r="G50" s="41" t="n"/>
      <c r="H50" s="41" t="n"/>
      <c r="I50" s="41" t="n"/>
      <c r="J50" s="41" t="n"/>
      <c r="K50" s="41" t="n"/>
      <c r="L50" s="41" t="n"/>
      <c r="M50" s="41" t="n"/>
      <c r="N50" s="41" t="n"/>
      <c r="O50" s="41" t="n"/>
      <c r="P50" s="41" t="n"/>
      <c r="Q50" s="41" t="n"/>
      <c r="R50" s="41" t="n"/>
      <c r="S50" s="41" t="n"/>
      <c r="T50" s="41" t="n"/>
      <c r="U50" s="41" t="n"/>
      <c r="V50" s="41" t="n"/>
      <c r="W50" s="41" t="n"/>
      <c r="X50" s="41" t="n"/>
      <c r="Y50" s="41" t="n"/>
      <c r="Z50" s="41" t="n"/>
      <c r="AA50" s="41" t="n"/>
      <c r="AB50" s="41" t="n"/>
      <c r="AC50" s="41" t="n"/>
      <c r="AD50" s="41" t="n"/>
      <c r="AE50" s="41" t="n"/>
      <c r="AF50" s="41" t="n"/>
      <c r="AG50" s="41" t="n"/>
      <c r="AH50" s="41" t="n"/>
      <c r="AI50" s="41" t="n"/>
      <c r="AJ50" s="41" t="n"/>
      <c r="AK50" s="41" t="n"/>
      <c r="AL50" s="41" t="n"/>
      <c r="AM50" s="41" t="n"/>
      <c r="AN50" s="41" t="n"/>
      <c r="AO50" s="41" t="n"/>
      <c r="AP50" s="41" t="n"/>
      <c r="AQ50" s="41" t="n"/>
      <c r="AR50" s="41" t="n"/>
      <c r="AS50" s="41" t="n"/>
      <c r="AT50" s="41" t="n"/>
      <c r="AU50" s="41" t="n"/>
      <c r="AV50" s="41" t="n"/>
      <c r="AW50" s="41" t="n"/>
      <c r="AX50" s="41" t="n"/>
      <c r="AY50" s="41" t="n"/>
      <c r="AZ50" s="41" t="n"/>
      <c r="BA50" s="41" t="n"/>
      <c r="BB50" s="41" t="n"/>
      <c r="BC50" s="41" t="n"/>
      <c r="BD50" s="41" t="n"/>
      <c r="BE50" s="41" t="n"/>
      <c r="BF50" s="41" t="n"/>
      <c r="BG50" s="41" t="n"/>
      <c r="BH50" s="41" t="n"/>
      <c r="BI50" s="41" t="n"/>
      <c r="BJ50" s="41" t="n"/>
      <c r="BK50" s="41" t="n"/>
      <c r="BL50" s="41" t="n"/>
      <c r="BM50" s="41" t="n"/>
    </row>
    <row r="51">
      <c r="A51" s="15" t="inlineStr">
        <is>
          <t>المراكز العاملة (شامل أبو المطامير)</t>
        </is>
      </c>
      <c r="B51" s="22" t="inlineStr">
        <is>
          <t>#</t>
        </is>
      </c>
      <c r="C51" s="43">
        <f>C8+C47</f>
        <v/>
      </c>
      <c r="D51" s="43">
        <f>D8+D47</f>
        <v/>
      </c>
      <c r="E51" s="43">
        <f>E8+E47</f>
        <v/>
      </c>
      <c r="F51" s="43">
        <f>F8+F47</f>
        <v/>
      </c>
      <c r="G51" s="43">
        <f>G8+G47</f>
        <v/>
      </c>
      <c r="H51" s="43">
        <f>H8+H47</f>
        <v/>
      </c>
      <c r="I51" s="43">
        <f>I8+I47</f>
        <v/>
      </c>
      <c r="J51" s="43">
        <f>J8+J47</f>
        <v/>
      </c>
      <c r="K51" s="43">
        <f>K8+K47</f>
        <v/>
      </c>
      <c r="L51" s="43">
        <f>L8+L47</f>
        <v/>
      </c>
      <c r="M51" s="43">
        <f>M8+M47</f>
        <v/>
      </c>
      <c r="N51" s="43">
        <f>N8+N47</f>
        <v/>
      </c>
      <c r="O51" s="43">
        <f>O8+O47</f>
        <v/>
      </c>
      <c r="P51" s="43">
        <f>P8+P47</f>
        <v/>
      </c>
      <c r="Q51" s="43">
        <f>Q8+Q47</f>
        <v/>
      </c>
      <c r="R51" s="43">
        <f>R8+R47</f>
        <v/>
      </c>
      <c r="S51" s="43">
        <f>S8+S47</f>
        <v/>
      </c>
      <c r="T51" s="43">
        <f>T8+T47</f>
        <v/>
      </c>
      <c r="U51" s="43">
        <f>U8+U47</f>
        <v/>
      </c>
      <c r="V51" s="43">
        <f>V8+V47</f>
        <v/>
      </c>
      <c r="W51" s="43">
        <f>W8+W47</f>
        <v/>
      </c>
      <c r="X51" s="43">
        <f>X8+X47</f>
        <v/>
      </c>
      <c r="Y51" s="43">
        <f>Y8+Y47</f>
        <v/>
      </c>
      <c r="Z51" s="43">
        <f>Z8+Z47</f>
        <v/>
      </c>
      <c r="AA51" s="43">
        <f>AA8+AA47</f>
        <v/>
      </c>
      <c r="AB51" s="43">
        <f>AB8+AB47</f>
        <v/>
      </c>
      <c r="AC51" s="43">
        <f>AC8+AC47</f>
        <v/>
      </c>
      <c r="AD51" s="43">
        <f>AD8+AD47</f>
        <v/>
      </c>
      <c r="AE51" s="43">
        <f>AE8+AE47</f>
        <v/>
      </c>
      <c r="AF51" s="43">
        <f>AF8+AF47</f>
        <v/>
      </c>
      <c r="AG51" s="43">
        <f>AG8+AG47</f>
        <v/>
      </c>
      <c r="AH51" s="43">
        <f>AH8+AH47</f>
        <v/>
      </c>
      <c r="AI51" s="43">
        <f>AI8+AI47</f>
        <v/>
      </c>
      <c r="AJ51" s="43">
        <f>AJ8+AJ47</f>
        <v/>
      </c>
      <c r="AK51" s="43">
        <f>AK8+AK47</f>
        <v/>
      </c>
      <c r="AL51" s="43">
        <f>AL8+AL47</f>
        <v/>
      </c>
      <c r="AM51" s="43">
        <f>AM8+AM47</f>
        <v/>
      </c>
      <c r="AN51" s="43">
        <f>AN8+AN47</f>
        <v/>
      </c>
      <c r="AO51" s="43">
        <f>AO8+AO47</f>
        <v/>
      </c>
      <c r="AP51" s="43">
        <f>AP8+AP47</f>
        <v/>
      </c>
      <c r="AQ51" s="43">
        <f>AQ8+AQ47</f>
        <v/>
      </c>
      <c r="AR51" s="43">
        <f>AR8+AR47</f>
        <v/>
      </c>
      <c r="AS51" s="43">
        <f>AS8+AS47</f>
        <v/>
      </c>
      <c r="AT51" s="43">
        <f>AT8+AT47</f>
        <v/>
      </c>
      <c r="AU51" s="43">
        <f>AU8+AU47</f>
        <v/>
      </c>
      <c r="AV51" s="43">
        <f>AV8+AV47</f>
        <v/>
      </c>
      <c r="AW51" s="43">
        <f>AW8+AW47</f>
        <v/>
      </c>
      <c r="AX51" s="43">
        <f>AX8+AX47</f>
        <v/>
      </c>
      <c r="AY51" s="43">
        <f>AY8+AY47</f>
        <v/>
      </c>
      <c r="AZ51" s="43">
        <f>AZ8+AZ47</f>
        <v/>
      </c>
      <c r="BA51" s="43">
        <f>BA8+BA47</f>
        <v/>
      </c>
      <c r="BB51" s="43">
        <f>BB8+BB47</f>
        <v/>
      </c>
      <c r="BC51" s="43">
        <f>BC8+BC47</f>
        <v/>
      </c>
      <c r="BD51" s="43">
        <f>BD8+BD47</f>
        <v/>
      </c>
      <c r="BE51" s="43">
        <f>BE8+BE47</f>
        <v/>
      </c>
      <c r="BF51" s="43">
        <f>BF8+BF47</f>
        <v/>
      </c>
      <c r="BG51" s="43">
        <f>BG8+BG47</f>
        <v/>
      </c>
      <c r="BH51" s="43">
        <f>BH8+BH47</f>
        <v/>
      </c>
      <c r="BI51" s="43">
        <f>BI8+BI47</f>
        <v/>
      </c>
      <c r="BJ51" s="43">
        <f>BJ8+BJ47</f>
        <v/>
      </c>
      <c r="BK51" s="43">
        <f>BK8+BK47</f>
        <v/>
      </c>
      <c r="BL51" s="43">
        <f>BL8+BL47</f>
        <v/>
      </c>
      <c r="BM51" s="43">
        <f>BM8+BM47</f>
        <v/>
      </c>
    </row>
    <row r="52">
      <c r="A52" s="15" t="inlineStr">
        <is>
          <t>العملاء النشطون — المجموعة</t>
        </is>
      </c>
      <c r="B52" s="22" t="inlineStr">
        <is>
          <t>#</t>
        </is>
      </c>
      <c r="C52" s="45">
        <f>C20+SUM(C29:C34)</f>
        <v/>
      </c>
      <c r="D52" s="45">
        <f>D20+SUM(D29:D34)</f>
        <v/>
      </c>
      <c r="E52" s="45">
        <f>E20+SUM(E29:E34)</f>
        <v/>
      </c>
      <c r="F52" s="45">
        <f>F20+SUM(F29:F34)</f>
        <v/>
      </c>
      <c r="G52" s="45">
        <f>G20+SUM(G29:G34)</f>
        <v/>
      </c>
      <c r="H52" s="45">
        <f>H20+SUM(H29:H34)</f>
        <v/>
      </c>
      <c r="I52" s="45">
        <f>I20+SUM(I29:I34)</f>
        <v/>
      </c>
      <c r="J52" s="45">
        <f>J20+SUM(J29:J34)</f>
        <v/>
      </c>
      <c r="K52" s="45">
        <f>K20+SUM(K29:K34)</f>
        <v/>
      </c>
      <c r="L52" s="45">
        <f>L20+SUM(L29:L34)</f>
        <v/>
      </c>
      <c r="M52" s="45">
        <f>M20+SUM(M29:M34)</f>
        <v/>
      </c>
      <c r="N52" s="45">
        <f>N20+SUM(N29:N34)</f>
        <v/>
      </c>
      <c r="O52" s="45">
        <f>O20+SUM(O29:O34)</f>
        <v/>
      </c>
      <c r="P52" s="45">
        <f>P20+SUM(P29:P34)</f>
        <v/>
      </c>
      <c r="Q52" s="45">
        <f>Q20+SUM(Q29:Q34)</f>
        <v/>
      </c>
      <c r="R52" s="45">
        <f>R20+SUM(R29:R34)</f>
        <v/>
      </c>
      <c r="S52" s="45">
        <f>S20+SUM(S29:S34)</f>
        <v/>
      </c>
      <c r="T52" s="45">
        <f>T20+SUM(T29:T34)</f>
        <v/>
      </c>
      <c r="U52" s="45">
        <f>U20+SUM(U29:U34)</f>
        <v/>
      </c>
      <c r="V52" s="45">
        <f>V20+SUM(V29:V34)</f>
        <v/>
      </c>
      <c r="W52" s="45">
        <f>W20+SUM(W29:W34)</f>
        <v/>
      </c>
      <c r="X52" s="45">
        <f>X20+SUM(X29:X34)</f>
        <v/>
      </c>
      <c r="Y52" s="45">
        <f>Y20+SUM(Y29:Y34)</f>
        <v/>
      </c>
      <c r="Z52" s="45">
        <f>Z20+SUM(Z29:Z34)</f>
        <v/>
      </c>
      <c r="AA52" s="45">
        <f>AA20+SUM(AA29:AA34)</f>
        <v/>
      </c>
      <c r="AB52" s="45">
        <f>AB20+SUM(AB29:AB34)</f>
        <v/>
      </c>
      <c r="AC52" s="45">
        <f>AC20+SUM(AC29:AC34)</f>
        <v/>
      </c>
      <c r="AD52" s="45">
        <f>AD20+SUM(AD29:AD34)</f>
        <v/>
      </c>
      <c r="AE52" s="45">
        <f>AE20+SUM(AE29:AE34)</f>
        <v/>
      </c>
      <c r="AF52" s="45">
        <f>AF20+SUM(AF29:AF34)</f>
        <v/>
      </c>
      <c r="AG52" s="45">
        <f>AG20+SUM(AG29:AG34)</f>
        <v/>
      </c>
      <c r="AH52" s="45">
        <f>AH20+SUM(AH29:AH34)</f>
        <v/>
      </c>
      <c r="AI52" s="45">
        <f>AI20+SUM(AI29:AI34)</f>
        <v/>
      </c>
      <c r="AJ52" s="45">
        <f>AJ20+SUM(AJ29:AJ34)</f>
        <v/>
      </c>
      <c r="AK52" s="45">
        <f>AK20+SUM(AK29:AK34)</f>
        <v/>
      </c>
      <c r="AL52" s="45">
        <f>AL20+SUM(AL29:AL34)</f>
        <v/>
      </c>
      <c r="AM52" s="45">
        <f>AM20+SUM(AM29:AM34)</f>
        <v/>
      </c>
      <c r="AN52" s="45">
        <f>AN20+SUM(AN29:AN34)</f>
        <v/>
      </c>
      <c r="AO52" s="45">
        <f>AO20+SUM(AO29:AO34)</f>
        <v/>
      </c>
      <c r="AP52" s="45">
        <f>AP20+SUM(AP29:AP34)</f>
        <v/>
      </c>
      <c r="AQ52" s="45">
        <f>AQ20+SUM(AQ29:AQ34)</f>
        <v/>
      </c>
      <c r="AR52" s="45">
        <f>AR20+SUM(AR29:AR34)</f>
        <v/>
      </c>
      <c r="AS52" s="45">
        <f>AS20+SUM(AS29:AS34)</f>
        <v/>
      </c>
      <c r="AT52" s="45">
        <f>AT20+SUM(AT29:AT34)</f>
        <v/>
      </c>
      <c r="AU52" s="45">
        <f>AU20+SUM(AU29:AU34)</f>
        <v/>
      </c>
      <c r="AV52" s="45">
        <f>AV20+SUM(AV29:AV34)</f>
        <v/>
      </c>
      <c r="AW52" s="45">
        <f>AW20+SUM(AW29:AW34)</f>
        <v/>
      </c>
      <c r="AX52" s="45">
        <f>AX20+SUM(AX29:AX34)</f>
        <v/>
      </c>
      <c r="AY52" s="45">
        <f>AY20+SUM(AY29:AY34)</f>
        <v/>
      </c>
      <c r="AZ52" s="45">
        <f>AZ20+SUM(AZ29:AZ34)</f>
        <v/>
      </c>
      <c r="BA52" s="45">
        <f>BA20+SUM(BA29:BA34)</f>
        <v/>
      </c>
      <c r="BB52" s="45">
        <f>BB20+SUM(BB29:BB34)</f>
        <v/>
      </c>
      <c r="BC52" s="45">
        <f>BC20+SUM(BC29:BC34)</f>
        <v/>
      </c>
      <c r="BD52" s="45">
        <f>BD20+SUM(BD29:BD34)</f>
        <v/>
      </c>
      <c r="BE52" s="45">
        <f>BE20+SUM(BE29:BE34)</f>
        <v/>
      </c>
      <c r="BF52" s="45">
        <f>BF20+SUM(BF29:BF34)</f>
        <v/>
      </c>
      <c r="BG52" s="45">
        <f>BG20+SUM(BG29:BG34)</f>
        <v/>
      </c>
      <c r="BH52" s="45">
        <f>BH20+SUM(BH29:BH34)</f>
        <v/>
      </c>
      <c r="BI52" s="45">
        <f>BI20+SUM(BI29:BI34)</f>
        <v/>
      </c>
      <c r="BJ52" s="45">
        <f>BJ20+SUM(BJ29:BJ34)</f>
        <v/>
      </c>
      <c r="BK52" s="45">
        <f>BK20+SUM(BK29:BK34)</f>
        <v/>
      </c>
      <c r="BL52" s="45">
        <f>BL20+SUM(BL29:BL34)</f>
        <v/>
      </c>
      <c r="BM52" s="45">
        <f>BM20+SUM(BM29:BM34)</f>
        <v/>
      </c>
    </row>
    <row r="53">
      <c r="A53" s="4" t="inlineStr">
        <is>
          <t>إنفاق الاستحواذ — المجموعة</t>
        </is>
      </c>
      <c r="B53" s="22" t="inlineStr">
        <is>
          <t>ج.م</t>
        </is>
      </c>
      <c r="C53" s="45">
        <f>C13+SUM(C41:C46)</f>
        <v/>
      </c>
      <c r="D53" s="45">
        <f>D13+SUM(D41:D46)</f>
        <v/>
      </c>
      <c r="E53" s="45">
        <f>E13+SUM(E41:E46)</f>
        <v/>
      </c>
      <c r="F53" s="45">
        <f>F13+SUM(F41:F46)</f>
        <v/>
      </c>
      <c r="G53" s="45">
        <f>G13+SUM(G41:G46)</f>
        <v/>
      </c>
      <c r="H53" s="45">
        <f>H13+SUM(H41:H46)</f>
        <v/>
      </c>
      <c r="I53" s="45">
        <f>I13+SUM(I41:I46)</f>
        <v/>
      </c>
      <c r="J53" s="45">
        <f>J13+SUM(J41:J46)</f>
        <v/>
      </c>
      <c r="K53" s="45">
        <f>K13+SUM(K41:K46)</f>
        <v/>
      </c>
      <c r="L53" s="45">
        <f>L13+SUM(L41:L46)</f>
        <v/>
      </c>
      <c r="M53" s="45">
        <f>M13+SUM(M41:M46)</f>
        <v/>
      </c>
      <c r="N53" s="45">
        <f>N13+SUM(N41:N46)</f>
        <v/>
      </c>
      <c r="O53" s="45">
        <f>O13+SUM(O41:O46)</f>
        <v/>
      </c>
      <c r="P53" s="45">
        <f>P13+SUM(P41:P46)</f>
        <v/>
      </c>
      <c r="Q53" s="45">
        <f>Q13+SUM(Q41:Q46)</f>
        <v/>
      </c>
      <c r="R53" s="45">
        <f>R13+SUM(R41:R46)</f>
        <v/>
      </c>
      <c r="S53" s="45">
        <f>S13+SUM(S41:S46)</f>
        <v/>
      </c>
      <c r="T53" s="45">
        <f>T13+SUM(T41:T46)</f>
        <v/>
      </c>
      <c r="U53" s="45">
        <f>U13+SUM(U41:U46)</f>
        <v/>
      </c>
      <c r="V53" s="45">
        <f>V13+SUM(V41:V46)</f>
        <v/>
      </c>
      <c r="W53" s="45">
        <f>W13+SUM(W41:W46)</f>
        <v/>
      </c>
      <c r="X53" s="45">
        <f>X13+SUM(X41:X46)</f>
        <v/>
      </c>
      <c r="Y53" s="45">
        <f>Y13+SUM(Y41:Y46)</f>
        <v/>
      </c>
      <c r="Z53" s="45">
        <f>Z13+SUM(Z41:Z46)</f>
        <v/>
      </c>
      <c r="AA53" s="45">
        <f>AA13+SUM(AA41:AA46)</f>
        <v/>
      </c>
      <c r="AB53" s="45">
        <f>AB13+SUM(AB41:AB46)</f>
        <v/>
      </c>
      <c r="AC53" s="45">
        <f>AC13+SUM(AC41:AC46)</f>
        <v/>
      </c>
      <c r="AD53" s="45">
        <f>AD13+SUM(AD41:AD46)</f>
        <v/>
      </c>
      <c r="AE53" s="45">
        <f>AE13+SUM(AE41:AE46)</f>
        <v/>
      </c>
      <c r="AF53" s="45">
        <f>AF13+SUM(AF41:AF46)</f>
        <v/>
      </c>
      <c r="AG53" s="45">
        <f>AG13+SUM(AG41:AG46)</f>
        <v/>
      </c>
      <c r="AH53" s="45">
        <f>AH13+SUM(AH41:AH46)</f>
        <v/>
      </c>
      <c r="AI53" s="45">
        <f>AI13+SUM(AI41:AI46)</f>
        <v/>
      </c>
      <c r="AJ53" s="45">
        <f>AJ13+SUM(AJ41:AJ46)</f>
        <v/>
      </c>
      <c r="AK53" s="45">
        <f>AK13+SUM(AK41:AK46)</f>
        <v/>
      </c>
      <c r="AL53" s="45">
        <f>AL13+SUM(AL41:AL46)</f>
        <v/>
      </c>
      <c r="AM53" s="45">
        <f>AM13+SUM(AM41:AM46)</f>
        <v/>
      </c>
      <c r="AN53" s="45">
        <f>AN13+SUM(AN41:AN46)</f>
        <v/>
      </c>
      <c r="AO53" s="45">
        <f>AO13+SUM(AO41:AO46)</f>
        <v/>
      </c>
      <c r="AP53" s="45">
        <f>AP13+SUM(AP41:AP46)</f>
        <v/>
      </c>
      <c r="AQ53" s="45">
        <f>AQ13+SUM(AQ41:AQ46)</f>
        <v/>
      </c>
      <c r="AR53" s="45">
        <f>AR13+SUM(AR41:AR46)</f>
        <v/>
      </c>
      <c r="AS53" s="45">
        <f>AS13+SUM(AS41:AS46)</f>
        <v/>
      </c>
      <c r="AT53" s="45">
        <f>AT13+SUM(AT41:AT46)</f>
        <v/>
      </c>
      <c r="AU53" s="45">
        <f>AU13+SUM(AU41:AU46)</f>
        <v/>
      </c>
      <c r="AV53" s="45">
        <f>AV13+SUM(AV41:AV46)</f>
        <v/>
      </c>
      <c r="AW53" s="45">
        <f>AW13+SUM(AW41:AW46)</f>
        <v/>
      </c>
      <c r="AX53" s="45">
        <f>AX13+SUM(AX41:AX46)</f>
        <v/>
      </c>
      <c r="AY53" s="45">
        <f>AY13+SUM(AY41:AY46)</f>
        <v/>
      </c>
      <c r="AZ53" s="45">
        <f>AZ13+SUM(AZ41:AZ46)</f>
        <v/>
      </c>
      <c r="BA53" s="45">
        <f>BA13+SUM(BA41:BA46)</f>
        <v/>
      </c>
      <c r="BB53" s="45">
        <f>BB13+SUM(BB41:BB46)</f>
        <v/>
      </c>
      <c r="BC53" s="45">
        <f>BC13+SUM(BC41:BC46)</f>
        <v/>
      </c>
      <c r="BD53" s="45">
        <f>BD13+SUM(BD41:BD46)</f>
        <v/>
      </c>
      <c r="BE53" s="45">
        <f>BE13+SUM(BE41:BE46)</f>
        <v/>
      </c>
      <c r="BF53" s="45">
        <f>BF13+SUM(BF41:BF46)</f>
        <v/>
      </c>
      <c r="BG53" s="45">
        <f>BG13+SUM(BG41:BG46)</f>
        <v/>
      </c>
      <c r="BH53" s="45">
        <f>BH13+SUM(BH41:BH46)</f>
        <v/>
      </c>
      <c r="BI53" s="45">
        <f>BI13+SUM(BI41:BI46)</f>
        <v/>
      </c>
      <c r="BJ53" s="45">
        <f>BJ13+SUM(BJ41:BJ46)</f>
        <v/>
      </c>
      <c r="BK53" s="45">
        <f>BK13+SUM(BK41:BK46)</f>
        <v/>
      </c>
      <c r="BL53" s="45">
        <f>BL13+SUM(BL41:BL46)</f>
        <v/>
      </c>
      <c r="BM53" s="45">
        <f>BM13+SUM(BM41:BM46)</f>
        <v/>
      </c>
    </row>
    <row r="54">
      <c r="A54" s="15" t="inlineStr">
        <is>
          <t>طلبات العملاء — المجموعة</t>
        </is>
      </c>
      <c r="B54" s="22" t="inlineStr">
        <is>
          <t>#</t>
        </is>
      </c>
      <c r="C54" s="45">
        <f>C26+SUM(C35:C40)</f>
        <v/>
      </c>
      <c r="D54" s="45">
        <f>D26+SUM(D35:D40)</f>
        <v/>
      </c>
      <c r="E54" s="45">
        <f>E26+SUM(E35:E40)</f>
        <v/>
      </c>
      <c r="F54" s="45">
        <f>F26+SUM(F35:F40)</f>
        <v/>
      </c>
      <c r="G54" s="45">
        <f>G26+SUM(G35:G40)</f>
        <v/>
      </c>
      <c r="H54" s="45">
        <f>H26+SUM(H35:H40)</f>
        <v/>
      </c>
      <c r="I54" s="45">
        <f>I26+SUM(I35:I40)</f>
        <v/>
      </c>
      <c r="J54" s="45">
        <f>J26+SUM(J35:J40)</f>
        <v/>
      </c>
      <c r="K54" s="45">
        <f>K26+SUM(K35:K40)</f>
        <v/>
      </c>
      <c r="L54" s="45">
        <f>L26+SUM(L35:L40)</f>
        <v/>
      </c>
      <c r="M54" s="45">
        <f>M26+SUM(M35:M40)</f>
        <v/>
      </c>
      <c r="N54" s="45">
        <f>N26+SUM(N35:N40)</f>
        <v/>
      </c>
      <c r="O54" s="45">
        <f>O26+SUM(O35:O40)</f>
        <v/>
      </c>
      <c r="P54" s="45">
        <f>P26+SUM(P35:P40)</f>
        <v/>
      </c>
      <c r="Q54" s="45">
        <f>Q26+SUM(Q35:Q40)</f>
        <v/>
      </c>
      <c r="R54" s="45">
        <f>R26+SUM(R35:R40)</f>
        <v/>
      </c>
      <c r="S54" s="45">
        <f>S26+SUM(S35:S40)</f>
        <v/>
      </c>
      <c r="T54" s="45">
        <f>T26+SUM(T35:T40)</f>
        <v/>
      </c>
      <c r="U54" s="45">
        <f>U26+SUM(U35:U40)</f>
        <v/>
      </c>
      <c r="V54" s="45">
        <f>V26+SUM(V35:V40)</f>
        <v/>
      </c>
      <c r="W54" s="45">
        <f>W26+SUM(W35:W40)</f>
        <v/>
      </c>
      <c r="X54" s="45">
        <f>X26+SUM(X35:X40)</f>
        <v/>
      </c>
      <c r="Y54" s="45">
        <f>Y26+SUM(Y35:Y40)</f>
        <v/>
      </c>
      <c r="Z54" s="45">
        <f>Z26+SUM(Z35:Z40)</f>
        <v/>
      </c>
      <c r="AA54" s="45">
        <f>AA26+SUM(AA35:AA40)</f>
        <v/>
      </c>
      <c r="AB54" s="45">
        <f>AB26+SUM(AB35:AB40)</f>
        <v/>
      </c>
      <c r="AC54" s="45">
        <f>AC26+SUM(AC35:AC40)</f>
        <v/>
      </c>
      <c r="AD54" s="45">
        <f>AD26+SUM(AD35:AD40)</f>
        <v/>
      </c>
      <c r="AE54" s="45">
        <f>AE26+SUM(AE35:AE40)</f>
        <v/>
      </c>
      <c r="AF54" s="45">
        <f>AF26+SUM(AF35:AF40)</f>
        <v/>
      </c>
      <c r="AG54" s="45">
        <f>AG26+SUM(AG35:AG40)</f>
        <v/>
      </c>
      <c r="AH54" s="45">
        <f>AH26+SUM(AH35:AH40)</f>
        <v/>
      </c>
      <c r="AI54" s="45">
        <f>AI26+SUM(AI35:AI40)</f>
        <v/>
      </c>
      <c r="AJ54" s="45">
        <f>AJ26+SUM(AJ35:AJ40)</f>
        <v/>
      </c>
      <c r="AK54" s="45">
        <f>AK26+SUM(AK35:AK40)</f>
        <v/>
      </c>
      <c r="AL54" s="45">
        <f>AL26+SUM(AL35:AL40)</f>
        <v/>
      </c>
      <c r="AM54" s="45">
        <f>AM26+SUM(AM35:AM40)</f>
        <v/>
      </c>
      <c r="AN54" s="45">
        <f>AN26+SUM(AN35:AN40)</f>
        <v/>
      </c>
      <c r="AO54" s="45">
        <f>AO26+SUM(AO35:AO40)</f>
        <v/>
      </c>
      <c r="AP54" s="45">
        <f>AP26+SUM(AP35:AP40)</f>
        <v/>
      </c>
      <c r="AQ54" s="45">
        <f>AQ26+SUM(AQ35:AQ40)</f>
        <v/>
      </c>
      <c r="AR54" s="45">
        <f>AR26+SUM(AR35:AR40)</f>
        <v/>
      </c>
      <c r="AS54" s="45">
        <f>AS26+SUM(AS35:AS40)</f>
        <v/>
      </c>
      <c r="AT54" s="45">
        <f>AT26+SUM(AT35:AT40)</f>
        <v/>
      </c>
      <c r="AU54" s="45">
        <f>AU26+SUM(AU35:AU40)</f>
        <v/>
      </c>
      <c r="AV54" s="45">
        <f>AV26+SUM(AV35:AV40)</f>
        <v/>
      </c>
      <c r="AW54" s="45">
        <f>AW26+SUM(AW35:AW40)</f>
        <v/>
      </c>
      <c r="AX54" s="45">
        <f>AX26+SUM(AX35:AX40)</f>
        <v/>
      </c>
      <c r="AY54" s="45">
        <f>AY26+SUM(AY35:AY40)</f>
        <v/>
      </c>
      <c r="AZ54" s="45">
        <f>AZ26+SUM(AZ35:AZ40)</f>
        <v/>
      </c>
      <c r="BA54" s="45">
        <f>BA26+SUM(BA35:BA40)</f>
        <v/>
      </c>
      <c r="BB54" s="45">
        <f>BB26+SUM(BB35:BB40)</f>
        <v/>
      </c>
      <c r="BC54" s="45">
        <f>BC26+SUM(BC35:BC40)</f>
        <v/>
      </c>
      <c r="BD54" s="45">
        <f>BD26+SUM(BD35:BD40)</f>
        <v/>
      </c>
      <c r="BE54" s="45">
        <f>BE26+SUM(BE35:BE40)</f>
        <v/>
      </c>
      <c r="BF54" s="45">
        <f>BF26+SUM(BF35:BF40)</f>
        <v/>
      </c>
      <c r="BG54" s="45">
        <f>BG26+SUM(BG35:BG40)</f>
        <v/>
      </c>
      <c r="BH54" s="45">
        <f>BH26+SUM(BH35:BH40)</f>
        <v/>
      </c>
      <c r="BI54" s="45">
        <f>BI26+SUM(BI35:BI40)</f>
        <v/>
      </c>
      <c r="BJ54" s="45">
        <f>BJ26+SUM(BJ35:BJ40)</f>
        <v/>
      </c>
      <c r="BK54" s="45">
        <f>BK26+SUM(BK35:BK40)</f>
        <v/>
      </c>
      <c r="BL54" s="45">
        <f>BL26+SUM(BL35:BL40)</f>
        <v/>
      </c>
      <c r="BM54" s="45">
        <f>BM26+SUM(BM35:BM40)</f>
        <v/>
      </c>
    </row>
    <row r="55">
      <c r="A55" s="4" t="inlineStr">
        <is>
          <t>طلبات العملاء في اليوم</t>
        </is>
      </c>
      <c r="B55" s="22" t="inlineStr">
        <is>
          <t>#</t>
        </is>
      </c>
      <c r="C55" s="45">
        <f>C54/30.4</f>
        <v/>
      </c>
      <c r="D55" s="45">
        <f>D54/30.4</f>
        <v/>
      </c>
      <c r="E55" s="45">
        <f>E54/30.4</f>
        <v/>
      </c>
      <c r="F55" s="45">
        <f>F54/30.4</f>
        <v/>
      </c>
      <c r="G55" s="45">
        <f>G54/30.4</f>
        <v/>
      </c>
      <c r="H55" s="45">
        <f>H54/30.4</f>
        <v/>
      </c>
      <c r="I55" s="45">
        <f>I54/30.4</f>
        <v/>
      </c>
      <c r="J55" s="45">
        <f>J54/30.4</f>
        <v/>
      </c>
      <c r="K55" s="45">
        <f>K54/30.4</f>
        <v/>
      </c>
      <c r="L55" s="45">
        <f>L54/30.4</f>
        <v/>
      </c>
      <c r="M55" s="45">
        <f>M54/30.4</f>
        <v/>
      </c>
      <c r="N55" s="45">
        <f>N54/30.4</f>
        <v/>
      </c>
      <c r="O55" s="45">
        <f>O54/30.4</f>
        <v/>
      </c>
      <c r="P55" s="45">
        <f>P54/30.4</f>
        <v/>
      </c>
      <c r="Q55" s="45">
        <f>Q54/30.4</f>
        <v/>
      </c>
      <c r="R55" s="45">
        <f>R54/30.4</f>
        <v/>
      </c>
      <c r="S55" s="45">
        <f>S54/30.4</f>
        <v/>
      </c>
      <c r="T55" s="45">
        <f>T54/30.4</f>
        <v/>
      </c>
      <c r="U55" s="45">
        <f>U54/30.4</f>
        <v/>
      </c>
      <c r="V55" s="45">
        <f>V54/30.4</f>
        <v/>
      </c>
      <c r="W55" s="45">
        <f>W54/30.4</f>
        <v/>
      </c>
      <c r="X55" s="45">
        <f>X54/30.4</f>
        <v/>
      </c>
      <c r="Y55" s="45">
        <f>Y54/30.4</f>
        <v/>
      </c>
      <c r="Z55" s="45">
        <f>Z54/30.4</f>
        <v/>
      </c>
      <c r="AA55" s="45">
        <f>AA54/30.4</f>
        <v/>
      </c>
      <c r="AB55" s="45">
        <f>AB54/30.4</f>
        <v/>
      </c>
      <c r="AC55" s="45">
        <f>AC54/30.4</f>
        <v/>
      </c>
      <c r="AD55" s="45">
        <f>AD54/30.4</f>
        <v/>
      </c>
      <c r="AE55" s="45">
        <f>AE54/30.4</f>
        <v/>
      </c>
      <c r="AF55" s="45">
        <f>AF54/30.4</f>
        <v/>
      </c>
      <c r="AG55" s="45">
        <f>AG54/30.4</f>
        <v/>
      </c>
      <c r="AH55" s="45">
        <f>AH54/30.4</f>
        <v/>
      </c>
      <c r="AI55" s="45">
        <f>AI54/30.4</f>
        <v/>
      </c>
      <c r="AJ55" s="45">
        <f>AJ54/30.4</f>
        <v/>
      </c>
      <c r="AK55" s="45">
        <f>AK54/30.4</f>
        <v/>
      </c>
      <c r="AL55" s="45">
        <f>AL54/30.4</f>
        <v/>
      </c>
      <c r="AM55" s="45">
        <f>AM54/30.4</f>
        <v/>
      </c>
      <c r="AN55" s="45">
        <f>AN54/30.4</f>
        <v/>
      </c>
      <c r="AO55" s="45">
        <f>AO54/30.4</f>
        <v/>
      </c>
      <c r="AP55" s="45">
        <f>AP54/30.4</f>
        <v/>
      </c>
      <c r="AQ55" s="45">
        <f>AQ54/30.4</f>
        <v/>
      </c>
      <c r="AR55" s="45">
        <f>AR54/30.4</f>
        <v/>
      </c>
      <c r="AS55" s="45">
        <f>AS54/30.4</f>
        <v/>
      </c>
      <c r="AT55" s="45">
        <f>AT54/30.4</f>
        <v/>
      </c>
      <c r="AU55" s="45">
        <f>AU54/30.4</f>
        <v/>
      </c>
      <c r="AV55" s="45">
        <f>AV54/30.4</f>
        <v/>
      </c>
      <c r="AW55" s="45">
        <f>AW54/30.4</f>
        <v/>
      </c>
      <c r="AX55" s="45">
        <f>AX54/30.4</f>
        <v/>
      </c>
      <c r="AY55" s="45">
        <f>AY54/30.4</f>
        <v/>
      </c>
      <c r="AZ55" s="45">
        <f>AZ54/30.4</f>
        <v/>
      </c>
      <c r="BA55" s="45">
        <f>BA54/30.4</f>
        <v/>
      </c>
      <c r="BB55" s="45">
        <f>BB54/30.4</f>
        <v/>
      </c>
      <c r="BC55" s="45">
        <f>BC54/30.4</f>
        <v/>
      </c>
      <c r="BD55" s="45">
        <f>BD54/30.4</f>
        <v/>
      </c>
      <c r="BE55" s="45">
        <f>BE54/30.4</f>
        <v/>
      </c>
      <c r="BF55" s="45">
        <f>BF54/30.4</f>
        <v/>
      </c>
      <c r="BG55" s="45">
        <f>BG54/30.4</f>
        <v/>
      </c>
      <c r="BH55" s="45">
        <f>BH54/30.4</f>
        <v/>
      </c>
      <c r="BI55" s="45">
        <f>BI54/30.4</f>
        <v/>
      </c>
      <c r="BJ55" s="45">
        <f>BJ54/30.4</f>
        <v/>
      </c>
      <c r="BK55" s="45">
        <f>BK54/30.4</f>
        <v/>
      </c>
      <c r="BL55" s="45">
        <f>BL54/30.4</f>
        <v/>
      </c>
      <c r="BM55" s="45">
        <f>BM54/30.4</f>
        <v/>
      </c>
    </row>
    <row r="56">
      <c r="A56" s="4" t="inlineStr">
        <is>
          <t>توصيلات التوصيل كخدمة (طلبات التجار الخاصة)</t>
        </is>
      </c>
      <c r="B56" s="22" t="inlineStr">
        <is>
          <t>#</t>
        </is>
      </c>
      <c r="C56" s="45">
        <f>IF(C7&gt;='الافتراضات'!$C$58,INDEX('الافتراضات'!$C$56:$G$56,C$9)*30.4,0)</f>
        <v/>
      </c>
      <c r="D56" s="45">
        <f>IF(D7&gt;='الافتراضات'!$C$58,INDEX('الافتراضات'!$C$56:$G$56,D$9)*30.4,0)</f>
        <v/>
      </c>
      <c r="E56" s="45">
        <f>IF(E7&gt;='الافتراضات'!$C$58,INDEX('الافتراضات'!$C$56:$G$56,E$9)*30.4,0)</f>
        <v/>
      </c>
      <c r="F56" s="45">
        <f>IF(F7&gt;='الافتراضات'!$C$58,INDEX('الافتراضات'!$C$56:$G$56,F$9)*30.4,0)</f>
        <v/>
      </c>
      <c r="G56" s="45">
        <f>IF(G7&gt;='الافتراضات'!$C$58,INDEX('الافتراضات'!$C$56:$G$56,G$9)*30.4,0)</f>
        <v/>
      </c>
      <c r="H56" s="45">
        <f>IF(H7&gt;='الافتراضات'!$C$58,INDEX('الافتراضات'!$C$56:$G$56,H$9)*30.4,0)</f>
        <v/>
      </c>
      <c r="I56" s="45">
        <f>IF(I7&gt;='الافتراضات'!$C$58,INDEX('الافتراضات'!$C$56:$G$56,I$9)*30.4,0)</f>
        <v/>
      </c>
      <c r="J56" s="45">
        <f>IF(J7&gt;='الافتراضات'!$C$58,INDEX('الافتراضات'!$C$56:$G$56,J$9)*30.4,0)</f>
        <v/>
      </c>
      <c r="K56" s="45">
        <f>IF(K7&gt;='الافتراضات'!$C$58,INDEX('الافتراضات'!$C$56:$G$56,K$9)*30.4,0)</f>
        <v/>
      </c>
      <c r="L56" s="45">
        <f>IF(L7&gt;='الافتراضات'!$C$58,INDEX('الافتراضات'!$C$56:$G$56,L$9)*30.4,0)</f>
        <v/>
      </c>
      <c r="M56" s="45">
        <f>IF(M7&gt;='الافتراضات'!$C$58,INDEX('الافتراضات'!$C$56:$G$56,M$9)*30.4,0)</f>
        <v/>
      </c>
      <c r="N56" s="45">
        <f>IF(N7&gt;='الافتراضات'!$C$58,INDEX('الافتراضات'!$C$56:$G$56,N$9)*30.4,0)</f>
        <v/>
      </c>
      <c r="O56" s="45">
        <f>IF(O7&gt;='الافتراضات'!$C$58,INDEX('الافتراضات'!$C$56:$G$56,O$9)*30.4,0)</f>
        <v/>
      </c>
      <c r="P56" s="45">
        <f>IF(P7&gt;='الافتراضات'!$C$58,INDEX('الافتراضات'!$C$56:$G$56,P$9)*30.4,0)</f>
        <v/>
      </c>
      <c r="Q56" s="45">
        <f>IF(Q7&gt;='الافتراضات'!$C$58,INDEX('الافتراضات'!$C$56:$G$56,Q$9)*30.4,0)</f>
        <v/>
      </c>
      <c r="R56" s="45">
        <f>IF(R7&gt;='الافتراضات'!$C$58,INDEX('الافتراضات'!$C$56:$G$56,R$9)*30.4,0)</f>
        <v/>
      </c>
      <c r="S56" s="45">
        <f>IF(S7&gt;='الافتراضات'!$C$58,INDEX('الافتراضات'!$C$56:$G$56,S$9)*30.4,0)</f>
        <v/>
      </c>
      <c r="T56" s="45">
        <f>IF(T7&gt;='الافتراضات'!$C$58,INDEX('الافتراضات'!$C$56:$G$56,T$9)*30.4,0)</f>
        <v/>
      </c>
      <c r="U56" s="45">
        <f>IF(U7&gt;='الافتراضات'!$C$58,INDEX('الافتراضات'!$C$56:$G$56,U$9)*30.4,0)</f>
        <v/>
      </c>
      <c r="V56" s="45">
        <f>IF(V7&gt;='الافتراضات'!$C$58,INDEX('الافتراضات'!$C$56:$G$56,V$9)*30.4,0)</f>
        <v/>
      </c>
      <c r="W56" s="45">
        <f>IF(W7&gt;='الافتراضات'!$C$58,INDEX('الافتراضات'!$C$56:$G$56,W$9)*30.4,0)</f>
        <v/>
      </c>
      <c r="X56" s="45">
        <f>IF(X7&gt;='الافتراضات'!$C$58,INDEX('الافتراضات'!$C$56:$G$56,X$9)*30.4,0)</f>
        <v/>
      </c>
      <c r="Y56" s="45">
        <f>IF(Y7&gt;='الافتراضات'!$C$58,INDEX('الافتراضات'!$C$56:$G$56,Y$9)*30.4,0)</f>
        <v/>
      </c>
      <c r="Z56" s="45">
        <f>IF(Z7&gt;='الافتراضات'!$C$58,INDEX('الافتراضات'!$C$56:$G$56,Z$9)*30.4,0)</f>
        <v/>
      </c>
      <c r="AA56" s="45">
        <f>IF(AA7&gt;='الافتراضات'!$C$58,INDEX('الافتراضات'!$C$56:$G$56,AA$9)*30.4,0)</f>
        <v/>
      </c>
      <c r="AB56" s="45">
        <f>IF(AB7&gt;='الافتراضات'!$C$58,INDEX('الافتراضات'!$C$56:$G$56,AB$9)*30.4,0)</f>
        <v/>
      </c>
      <c r="AC56" s="45">
        <f>IF(AC7&gt;='الافتراضات'!$C$58,INDEX('الافتراضات'!$C$56:$G$56,AC$9)*30.4,0)</f>
        <v/>
      </c>
      <c r="AD56" s="45">
        <f>IF(AD7&gt;='الافتراضات'!$C$58,INDEX('الافتراضات'!$C$56:$G$56,AD$9)*30.4,0)</f>
        <v/>
      </c>
      <c r="AE56" s="45">
        <f>IF(AE7&gt;='الافتراضات'!$C$58,INDEX('الافتراضات'!$C$56:$G$56,AE$9)*30.4,0)</f>
        <v/>
      </c>
      <c r="AF56" s="45">
        <f>IF(AF7&gt;='الافتراضات'!$C$58,INDEX('الافتراضات'!$C$56:$G$56,AF$9)*30.4,0)</f>
        <v/>
      </c>
      <c r="AG56" s="45">
        <f>IF(AG7&gt;='الافتراضات'!$C$58,INDEX('الافتراضات'!$C$56:$G$56,AG$9)*30.4,0)</f>
        <v/>
      </c>
      <c r="AH56" s="45">
        <f>IF(AH7&gt;='الافتراضات'!$C$58,INDEX('الافتراضات'!$C$56:$G$56,AH$9)*30.4,0)</f>
        <v/>
      </c>
      <c r="AI56" s="45">
        <f>IF(AI7&gt;='الافتراضات'!$C$58,INDEX('الافتراضات'!$C$56:$G$56,AI$9)*30.4,0)</f>
        <v/>
      </c>
      <c r="AJ56" s="45">
        <f>IF(AJ7&gt;='الافتراضات'!$C$58,INDEX('الافتراضات'!$C$56:$G$56,AJ$9)*30.4,0)</f>
        <v/>
      </c>
      <c r="AK56" s="45">
        <f>IF(AK7&gt;='الافتراضات'!$C$58,INDEX('الافتراضات'!$C$56:$G$56,AK$9)*30.4,0)</f>
        <v/>
      </c>
      <c r="AL56" s="45">
        <f>IF(AL7&gt;='الافتراضات'!$C$58,INDEX('الافتراضات'!$C$56:$G$56,AL$9)*30.4,0)</f>
        <v/>
      </c>
      <c r="AM56" s="45">
        <f>IF(AM7&gt;='الافتراضات'!$C$58,INDEX('الافتراضات'!$C$56:$G$56,AM$9)*30.4,0)</f>
        <v/>
      </c>
      <c r="AN56" s="45">
        <f>IF(AN7&gt;='الافتراضات'!$C$58,INDEX('الافتراضات'!$C$56:$G$56,AN$9)*30.4,0)</f>
        <v/>
      </c>
      <c r="AO56" s="45">
        <f>IF(AO7&gt;='الافتراضات'!$C$58,INDEX('الافتراضات'!$C$56:$G$56,AO$9)*30.4,0)</f>
        <v/>
      </c>
      <c r="AP56" s="45">
        <f>IF(AP7&gt;='الافتراضات'!$C$58,INDEX('الافتراضات'!$C$56:$G$56,AP$9)*30.4,0)</f>
        <v/>
      </c>
      <c r="AQ56" s="45">
        <f>IF(AQ7&gt;='الافتراضات'!$C$58,INDEX('الافتراضات'!$C$56:$G$56,AQ$9)*30.4,0)</f>
        <v/>
      </c>
      <c r="AR56" s="45">
        <f>IF(AR7&gt;='الافتراضات'!$C$58,INDEX('الافتراضات'!$C$56:$G$56,AR$9)*30.4,0)</f>
        <v/>
      </c>
      <c r="AS56" s="45">
        <f>IF(AS7&gt;='الافتراضات'!$C$58,INDEX('الافتراضات'!$C$56:$G$56,AS$9)*30.4,0)</f>
        <v/>
      </c>
      <c r="AT56" s="45">
        <f>IF(AT7&gt;='الافتراضات'!$C$58,INDEX('الافتراضات'!$C$56:$G$56,AT$9)*30.4,0)</f>
        <v/>
      </c>
      <c r="AU56" s="45">
        <f>IF(AU7&gt;='الافتراضات'!$C$58,INDEX('الافتراضات'!$C$56:$G$56,AU$9)*30.4,0)</f>
        <v/>
      </c>
      <c r="AV56" s="45">
        <f>IF(AV7&gt;='الافتراضات'!$C$58,INDEX('الافتراضات'!$C$56:$G$56,AV$9)*30.4,0)</f>
        <v/>
      </c>
      <c r="AW56" s="45">
        <f>IF(AW7&gt;='الافتراضات'!$C$58,INDEX('الافتراضات'!$C$56:$G$56,AW$9)*30.4,0)</f>
        <v/>
      </c>
      <c r="AX56" s="45">
        <f>IF(AX7&gt;='الافتراضات'!$C$58,INDEX('الافتراضات'!$C$56:$G$56,AX$9)*30.4,0)</f>
        <v/>
      </c>
      <c r="AY56" s="45">
        <f>IF(AY7&gt;='الافتراضات'!$C$58,INDEX('الافتراضات'!$C$56:$G$56,AY$9)*30.4,0)</f>
        <v/>
      </c>
      <c r="AZ56" s="45">
        <f>IF(AZ7&gt;='الافتراضات'!$C$58,INDEX('الافتراضات'!$C$56:$G$56,AZ$9)*30.4,0)</f>
        <v/>
      </c>
      <c r="BA56" s="45">
        <f>IF(BA7&gt;='الافتراضات'!$C$58,INDEX('الافتراضات'!$C$56:$G$56,BA$9)*30.4,0)</f>
        <v/>
      </c>
      <c r="BB56" s="45">
        <f>IF(BB7&gt;='الافتراضات'!$C$58,INDEX('الافتراضات'!$C$56:$G$56,BB$9)*30.4,0)</f>
        <v/>
      </c>
      <c r="BC56" s="45">
        <f>IF(BC7&gt;='الافتراضات'!$C$58,INDEX('الافتراضات'!$C$56:$G$56,BC$9)*30.4,0)</f>
        <v/>
      </c>
      <c r="BD56" s="45">
        <f>IF(BD7&gt;='الافتراضات'!$C$58,INDEX('الافتراضات'!$C$56:$G$56,BD$9)*30.4,0)</f>
        <v/>
      </c>
      <c r="BE56" s="45">
        <f>IF(BE7&gt;='الافتراضات'!$C$58,INDEX('الافتراضات'!$C$56:$G$56,BE$9)*30.4,0)</f>
        <v/>
      </c>
      <c r="BF56" s="45">
        <f>IF(BF7&gt;='الافتراضات'!$C$58,INDEX('الافتراضات'!$C$56:$G$56,BF$9)*30.4,0)</f>
        <v/>
      </c>
      <c r="BG56" s="45">
        <f>IF(BG7&gt;='الافتراضات'!$C$58,INDEX('الافتراضات'!$C$56:$G$56,BG$9)*30.4,0)</f>
        <v/>
      </c>
      <c r="BH56" s="45">
        <f>IF(BH7&gt;='الافتراضات'!$C$58,INDEX('الافتراضات'!$C$56:$G$56,BH$9)*30.4,0)</f>
        <v/>
      </c>
      <c r="BI56" s="45">
        <f>IF(BI7&gt;='الافتراضات'!$C$58,INDEX('الافتراضات'!$C$56:$G$56,BI$9)*30.4,0)</f>
        <v/>
      </c>
      <c r="BJ56" s="45">
        <f>IF(BJ7&gt;='الافتراضات'!$C$58,INDEX('الافتراضات'!$C$56:$G$56,BJ$9)*30.4,0)</f>
        <v/>
      </c>
      <c r="BK56" s="45">
        <f>IF(BK7&gt;='الافتراضات'!$C$58,INDEX('الافتراضات'!$C$56:$G$56,BK$9)*30.4,0)</f>
        <v/>
      </c>
      <c r="BL56" s="45">
        <f>IF(BL7&gt;='الافتراضات'!$C$58,INDEX('الافتراضات'!$C$56:$G$56,BL$9)*30.4,0)</f>
        <v/>
      </c>
      <c r="BM56" s="45">
        <f>IF(BM7&gt;='الافتراضات'!$C$58,INDEX('الافتراضات'!$C$56:$G$56,BM$9)*30.4,0)</f>
        <v/>
      </c>
    </row>
    <row r="57">
      <c r="A57" s="4" t="inlineStr">
        <is>
          <t>متوسط قيمة الطلب</t>
        </is>
      </c>
      <c r="B57" s="22" t="inlineStr">
        <is>
          <t>ج.م</t>
        </is>
      </c>
      <c r="C57" s="5">
        <f>INDEX('الافتراضات'!$C$37:$G$37,C$9)*'الافتراضات'!$F$11</f>
        <v/>
      </c>
      <c r="D57" s="5">
        <f>INDEX('الافتراضات'!$C$37:$G$37,D$9)*'الافتراضات'!$F$11</f>
        <v/>
      </c>
      <c r="E57" s="5">
        <f>INDEX('الافتراضات'!$C$37:$G$37,E$9)*'الافتراضات'!$F$11</f>
        <v/>
      </c>
      <c r="F57" s="5">
        <f>INDEX('الافتراضات'!$C$37:$G$37,F$9)*'الافتراضات'!$F$11</f>
        <v/>
      </c>
      <c r="G57" s="5">
        <f>INDEX('الافتراضات'!$C$37:$G$37,G$9)*'الافتراضات'!$F$11</f>
        <v/>
      </c>
      <c r="H57" s="5">
        <f>INDEX('الافتراضات'!$C$37:$G$37,H$9)*'الافتراضات'!$F$11</f>
        <v/>
      </c>
      <c r="I57" s="5">
        <f>INDEX('الافتراضات'!$C$37:$G$37,I$9)*'الافتراضات'!$F$11</f>
        <v/>
      </c>
      <c r="J57" s="5">
        <f>INDEX('الافتراضات'!$C$37:$G$37,J$9)*'الافتراضات'!$F$11</f>
        <v/>
      </c>
      <c r="K57" s="5">
        <f>INDEX('الافتراضات'!$C$37:$G$37,K$9)*'الافتراضات'!$F$11</f>
        <v/>
      </c>
      <c r="L57" s="5">
        <f>INDEX('الافتراضات'!$C$37:$G$37,L$9)*'الافتراضات'!$F$11</f>
        <v/>
      </c>
      <c r="M57" s="5">
        <f>INDEX('الافتراضات'!$C$37:$G$37,M$9)*'الافتراضات'!$F$11</f>
        <v/>
      </c>
      <c r="N57" s="5">
        <f>INDEX('الافتراضات'!$C$37:$G$37,N$9)*'الافتراضات'!$F$11</f>
        <v/>
      </c>
      <c r="O57" s="5">
        <f>INDEX('الافتراضات'!$C$37:$G$37,O$9)*'الافتراضات'!$F$11</f>
        <v/>
      </c>
      <c r="P57" s="5">
        <f>INDEX('الافتراضات'!$C$37:$G$37,P$9)*'الافتراضات'!$F$11</f>
        <v/>
      </c>
      <c r="Q57" s="5">
        <f>INDEX('الافتراضات'!$C$37:$G$37,Q$9)*'الافتراضات'!$F$11</f>
        <v/>
      </c>
      <c r="R57" s="5">
        <f>INDEX('الافتراضات'!$C$37:$G$37,R$9)*'الافتراضات'!$F$11</f>
        <v/>
      </c>
      <c r="S57" s="5">
        <f>INDEX('الافتراضات'!$C$37:$G$37,S$9)*'الافتراضات'!$F$11</f>
        <v/>
      </c>
      <c r="T57" s="5">
        <f>INDEX('الافتراضات'!$C$37:$G$37,T$9)*'الافتراضات'!$F$11</f>
        <v/>
      </c>
      <c r="U57" s="5">
        <f>INDEX('الافتراضات'!$C$37:$G$37,U$9)*'الافتراضات'!$F$11</f>
        <v/>
      </c>
      <c r="V57" s="5">
        <f>INDEX('الافتراضات'!$C$37:$G$37,V$9)*'الافتراضات'!$F$11</f>
        <v/>
      </c>
      <c r="W57" s="5">
        <f>INDEX('الافتراضات'!$C$37:$G$37,W$9)*'الافتراضات'!$F$11</f>
        <v/>
      </c>
      <c r="X57" s="5">
        <f>INDEX('الافتراضات'!$C$37:$G$37,X$9)*'الافتراضات'!$F$11</f>
        <v/>
      </c>
      <c r="Y57" s="5">
        <f>INDEX('الافتراضات'!$C$37:$G$37,Y$9)*'الافتراضات'!$F$11</f>
        <v/>
      </c>
      <c r="Z57" s="5">
        <f>INDEX('الافتراضات'!$C$37:$G$37,Z$9)*'الافتراضات'!$F$11</f>
        <v/>
      </c>
      <c r="AA57" s="5">
        <f>INDEX('الافتراضات'!$C$37:$G$37,AA$9)*'الافتراضات'!$F$11</f>
        <v/>
      </c>
      <c r="AB57" s="5">
        <f>INDEX('الافتراضات'!$C$37:$G$37,AB$9)*'الافتراضات'!$F$11</f>
        <v/>
      </c>
      <c r="AC57" s="5">
        <f>INDEX('الافتراضات'!$C$37:$G$37,AC$9)*'الافتراضات'!$F$11</f>
        <v/>
      </c>
      <c r="AD57" s="5">
        <f>INDEX('الافتراضات'!$C$37:$G$37,AD$9)*'الافتراضات'!$F$11</f>
        <v/>
      </c>
      <c r="AE57" s="5">
        <f>INDEX('الافتراضات'!$C$37:$G$37,AE$9)*'الافتراضات'!$F$11</f>
        <v/>
      </c>
      <c r="AF57" s="5">
        <f>INDEX('الافتراضات'!$C$37:$G$37,AF$9)*'الافتراضات'!$F$11</f>
        <v/>
      </c>
      <c r="AG57" s="5">
        <f>INDEX('الافتراضات'!$C$37:$G$37,AG$9)*'الافتراضات'!$F$11</f>
        <v/>
      </c>
      <c r="AH57" s="5">
        <f>INDEX('الافتراضات'!$C$37:$G$37,AH$9)*'الافتراضات'!$F$11</f>
        <v/>
      </c>
      <c r="AI57" s="5">
        <f>INDEX('الافتراضات'!$C$37:$G$37,AI$9)*'الافتراضات'!$F$11</f>
        <v/>
      </c>
      <c r="AJ57" s="5">
        <f>INDEX('الافتراضات'!$C$37:$G$37,AJ$9)*'الافتراضات'!$F$11</f>
        <v/>
      </c>
      <c r="AK57" s="5">
        <f>INDEX('الافتراضات'!$C$37:$G$37,AK$9)*'الافتراضات'!$F$11</f>
        <v/>
      </c>
      <c r="AL57" s="5">
        <f>INDEX('الافتراضات'!$C$37:$G$37,AL$9)*'الافتراضات'!$F$11</f>
        <v/>
      </c>
      <c r="AM57" s="5">
        <f>INDEX('الافتراضات'!$C$37:$G$37,AM$9)*'الافتراضات'!$F$11</f>
        <v/>
      </c>
      <c r="AN57" s="5">
        <f>INDEX('الافتراضات'!$C$37:$G$37,AN$9)*'الافتراضات'!$F$11</f>
        <v/>
      </c>
      <c r="AO57" s="5">
        <f>INDEX('الافتراضات'!$C$37:$G$37,AO$9)*'الافتراضات'!$F$11</f>
        <v/>
      </c>
      <c r="AP57" s="5">
        <f>INDEX('الافتراضات'!$C$37:$G$37,AP$9)*'الافتراضات'!$F$11</f>
        <v/>
      </c>
      <c r="AQ57" s="5">
        <f>INDEX('الافتراضات'!$C$37:$G$37,AQ$9)*'الافتراضات'!$F$11</f>
        <v/>
      </c>
      <c r="AR57" s="5">
        <f>INDEX('الافتراضات'!$C$37:$G$37,AR$9)*'الافتراضات'!$F$11</f>
        <v/>
      </c>
      <c r="AS57" s="5">
        <f>INDEX('الافتراضات'!$C$37:$G$37,AS$9)*'الافتراضات'!$F$11</f>
        <v/>
      </c>
      <c r="AT57" s="5">
        <f>INDEX('الافتراضات'!$C$37:$G$37,AT$9)*'الافتراضات'!$F$11</f>
        <v/>
      </c>
      <c r="AU57" s="5">
        <f>INDEX('الافتراضات'!$C$37:$G$37,AU$9)*'الافتراضات'!$F$11</f>
        <v/>
      </c>
      <c r="AV57" s="5">
        <f>INDEX('الافتراضات'!$C$37:$G$37,AV$9)*'الافتراضات'!$F$11</f>
        <v/>
      </c>
      <c r="AW57" s="5">
        <f>INDEX('الافتراضات'!$C$37:$G$37,AW$9)*'الافتراضات'!$F$11</f>
        <v/>
      </c>
      <c r="AX57" s="5">
        <f>INDEX('الافتراضات'!$C$37:$G$37,AX$9)*'الافتراضات'!$F$11</f>
        <v/>
      </c>
      <c r="AY57" s="5">
        <f>INDEX('الافتراضات'!$C$37:$G$37,AY$9)*'الافتراضات'!$F$11</f>
        <v/>
      </c>
      <c r="AZ57" s="5">
        <f>INDEX('الافتراضات'!$C$37:$G$37,AZ$9)*'الافتراضات'!$F$11</f>
        <v/>
      </c>
      <c r="BA57" s="5">
        <f>INDEX('الافتراضات'!$C$37:$G$37,BA$9)*'الافتراضات'!$F$11</f>
        <v/>
      </c>
      <c r="BB57" s="5">
        <f>INDEX('الافتراضات'!$C$37:$G$37,BB$9)*'الافتراضات'!$F$11</f>
        <v/>
      </c>
      <c r="BC57" s="5">
        <f>INDEX('الافتراضات'!$C$37:$G$37,BC$9)*'الافتراضات'!$F$11</f>
        <v/>
      </c>
      <c r="BD57" s="5">
        <f>INDEX('الافتراضات'!$C$37:$G$37,BD$9)*'الافتراضات'!$F$11</f>
        <v/>
      </c>
      <c r="BE57" s="5">
        <f>INDEX('الافتراضات'!$C$37:$G$37,BE$9)*'الافتراضات'!$F$11</f>
        <v/>
      </c>
      <c r="BF57" s="5">
        <f>INDEX('الافتراضات'!$C$37:$G$37,BF$9)*'الافتراضات'!$F$11</f>
        <v/>
      </c>
      <c r="BG57" s="5">
        <f>INDEX('الافتراضات'!$C$37:$G$37,BG$9)*'الافتراضات'!$F$11</f>
        <v/>
      </c>
      <c r="BH57" s="5">
        <f>INDEX('الافتراضات'!$C$37:$G$37,BH$9)*'الافتراضات'!$F$11</f>
        <v/>
      </c>
      <c r="BI57" s="5">
        <f>INDEX('الافتراضات'!$C$37:$G$37,BI$9)*'الافتراضات'!$F$11</f>
        <v/>
      </c>
      <c r="BJ57" s="5">
        <f>INDEX('الافتراضات'!$C$37:$G$37,BJ$9)*'الافتراضات'!$F$11</f>
        <v/>
      </c>
      <c r="BK57" s="5">
        <f>INDEX('الافتراضات'!$C$37:$G$37,BK$9)*'الافتراضات'!$F$11</f>
        <v/>
      </c>
      <c r="BL57" s="5">
        <f>INDEX('الافتراضات'!$C$37:$G$37,BL$9)*'الافتراضات'!$F$11</f>
        <v/>
      </c>
      <c r="BM57" s="5">
        <f>INDEX('الافتراضات'!$C$37:$G$37,BM$9)*'الافتراضات'!$F$11</f>
        <v/>
      </c>
    </row>
    <row r="58">
      <c r="A58" s="15" t="inlineStr">
        <is>
          <t>GMV — الإجمالي</t>
        </is>
      </c>
      <c r="B58" s="22" t="inlineStr">
        <is>
          <t>ج.م</t>
        </is>
      </c>
      <c r="C58" s="45">
        <f>C54*C57</f>
        <v/>
      </c>
      <c r="D58" s="45">
        <f>D54*D57</f>
        <v/>
      </c>
      <c r="E58" s="45">
        <f>E54*E57</f>
        <v/>
      </c>
      <c r="F58" s="45">
        <f>F54*F57</f>
        <v/>
      </c>
      <c r="G58" s="45">
        <f>G54*G57</f>
        <v/>
      </c>
      <c r="H58" s="45">
        <f>H54*H57</f>
        <v/>
      </c>
      <c r="I58" s="45">
        <f>I54*I57</f>
        <v/>
      </c>
      <c r="J58" s="45">
        <f>J54*J57</f>
        <v/>
      </c>
      <c r="K58" s="45">
        <f>K54*K57</f>
        <v/>
      </c>
      <c r="L58" s="45">
        <f>L54*L57</f>
        <v/>
      </c>
      <c r="M58" s="45">
        <f>M54*M57</f>
        <v/>
      </c>
      <c r="N58" s="45">
        <f>N54*N57</f>
        <v/>
      </c>
      <c r="O58" s="45">
        <f>O54*O57</f>
        <v/>
      </c>
      <c r="P58" s="45">
        <f>P54*P57</f>
        <v/>
      </c>
      <c r="Q58" s="45">
        <f>Q54*Q57</f>
        <v/>
      </c>
      <c r="R58" s="45">
        <f>R54*R57</f>
        <v/>
      </c>
      <c r="S58" s="45">
        <f>S54*S57</f>
        <v/>
      </c>
      <c r="T58" s="45">
        <f>T54*T57</f>
        <v/>
      </c>
      <c r="U58" s="45">
        <f>U54*U57</f>
        <v/>
      </c>
      <c r="V58" s="45">
        <f>V54*V57</f>
        <v/>
      </c>
      <c r="W58" s="45">
        <f>W54*W57</f>
        <v/>
      </c>
      <c r="X58" s="45">
        <f>X54*X57</f>
        <v/>
      </c>
      <c r="Y58" s="45">
        <f>Y54*Y57</f>
        <v/>
      </c>
      <c r="Z58" s="45">
        <f>Z54*Z57</f>
        <v/>
      </c>
      <c r="AA58" s="45">
        <f>AA54*AA57</f>
        <v/>
      </c>
      <c r="AB58" s="45">
        <f>AB54*AB57</f>
        <v/>
      </c>
      <c r="AC58" s="45">
        <f>AC54*AC57</f>
        <v/>
      </c>
      <c r="AD58" s="45">
        <f>AD54*AD57</f>
        <v/>
      </c>
      <c r="AE58" s="45">
        <f>AE54*AE57</f>
        <v/>
      </c>
      <c r="AF58" s="45">
        <f>AF54*AF57</f>
        <v/>
      </c>
      <c r="AG58" s="45">
        <f>AG54*AG57</f>
        <v/>
      </c>
      <c r="AH58" s="45">
        <f>AH54*AH57</f>
        <v/>
      </c>
      <c r="AI58" s="45">
        <f>AI54*AI57</f>
        <v/>
      </c>
      <c r="AJ58" s="45">
        <f>AJ54*AJ57</f>
        <v/>
      </c>
      <c r="AK58" s="45">
        <f>AK54*AK57</f>
        <v/>
      </c>
      <c r="AL58" s="45">
        <f>AL54*AL57</f>
        <v/>
      </c>
      <c r="AM58" s="45">
        <f>AM54*AM57</f>
        <v/>
      </c>
      <c r="AN58" s="45">
        <f>AN54*AN57</f>
        <v/>
      </c>
      <c r="AO58" s="45">
        <f>AO54*AO57</f>
        <v/>
      </c>
      <c r="AP58" s="45">
        <f>AP54*AP57</f>
        <v/>
      </c>
      <c r="AQ58" s="45">
        <f>AQ54*AQ57</f>
        <v/>
      </c>
      <c r="AR58" s="45">
        <f>AR54*AR57</f>
        <v/>
      </c>
      <c r="AS58" s="45">
        <f>AS54*AS57</f>
        <v/>
      </c>
      <c r="AT58" s="45">
        <f>AT54*AT57</f>
        <v/>
      </c>
      <c r="AU58" s="45">
        <f>AU54*AU57</f>
        <v/>
      </c>
      <c r="AV58" s="45">
        <f>AV54*AV57</f>
        <v/>
      </c>
      <c r="AW58" s="45">
        <f>AW54*AW57</f>
        <v/>
      </c>
      <c r="AX58" s="45">
        <f>AX54*AX57</f>
        <v/>
      </c>
      <c r="AY58" s="45">
        <f>AY54*AY57</f>
        <v/>
      </c>
      <c r="AZ58" s="45">
        <f>AZ54*AZ57</f>
        <v/>
      </c>
      <c r="BA58" s="45">
        <f>BA54*BA57</f>
        <v/>
      </c>
      <c r="BB58" s="45">
        <f>BB54*BB57</f>
        <v/>
      </c>
      <c r="BC58" s="45">
        <f>BC54*BC57</f>
        <v/>
      </c>
      <c r="BD58" s="45">
        <f>BD54*BD57</f>
        <v/>
      </c>
      <c r="BE58" s="45">
        <f>BE54*BE57</f>
        <v/>
      </c>
      <c r="BF58" s="45">
        <f>BF54*BF57</f>
        <v/>
      </c>
      <c r="BG58" s="45">
        <f>BG54*BG57</f>
        <v/>
      </c>
      <c r="BH58" s="45">
        <f>BH54*BH57</f>
        <v/>
      </c>
      <c r="BI58" s="45">
        <f>BI54*BI57</f>
        <v/>
      </c>
      <c r="BJ58" s="45">
        <f>BJ54*BJ57</f>
        <v/>
      </c>
      <c r="BK58" s="45">
        <f>BK54*BK57</f>
        <v/>
      </c>
      <c r="BL58" s="45">
        <f>BL54*BL57</f>
        <v/>
      </c>
      <c r="BM58" s="45">
        <f>BM54*BM57</f>
        <v/>
      </c>
    </row>
    <row r="59">
      <c r="A59" s="4" t="inlineStr">
        <is>
          <t>GMV — مخزون توّا المملوك</t>
        </is>
      </c>
      <c r="B59" s="22" t="inlineStr">
        <is>
          <t>ج.م</t>
        </is>
      </c>
      <c r="C59" s="45">
        <f>C58*INDEX('الافتراضات'!$C$38:$G$38,C$9)</f>
        <v/>
      </c>
      <c r="D59" s="45">
        <f>D58*INDEX('الافتراضات'!$C$38:$G$38,D$9)</f>
        <v/>
      </c>
      <c r="E59" s="45">
        <f>E58*INDEX('الافتراضات'!$C$38:$G$38,E$9)</f>
        <v/>
      </c>
      <c r="F59" s="45">
        <f>F58*INDEX('الافتراضات'!$C$38:$G$38,F$9)</f>
        <v/>
      </c>
      <c r="G59" s="45">
        <f>G58*INDEX('الافتراضات'!$C$38:$G$38,G$9)</f>
        <v/>
      </c>
      <c r="H59" s="45">
        <f>H58*INDEX('الافتراضات'!$C$38:$G$38,H$9)</f>
        <v/>
      </c>
      <c r="I59" s="45">
        <f>I58*INDEX('الافتراضات'!$C$38:$G$38,I$9)</f>
        <v/>
      </c>
      <c r="J59" s="45">
        <f>J58*INDEX('الافتراضات'!$C$38:$G$38,J$9)</f>
        <v/>
      </c>
      <c r="K59" s="45">
        <f>K58*INDEX('الافتراضات'!$C$38:$G$38,K$9)</f>
        <v/>
      </c>
      <c r="L59" s="45">
        <f>L58*INDEX('الافتراضات'!$C$38:$G$38,L$9)</f>
        <v/>
      </c>
      <c r="M59" s="45">
        <f>M58*INDEX('الافتراضات'!$C$38:$G$38,M$9)</f>
        <v/>
      </c>
      <c r="N59" s="45">
        <f>N58*INDEX('الافتراضات'!$C$38:$G$38,N$9)</f>
        <v/>
      </c>
      <c r="O59" s="45">
        <f>O58*INDEX('الافتراضات'!$C$38:$G$38,O$9)</f>
        <v/>
      </c>
      <c r="P59" s="45">
        <f>P58*INDEX('الافتراضات'!$C$38:$G$38,P$9)</f>
        <v/>
      </c>
      <c r="Q59" s="45">
        <f>Q58*INDEX('الافتراضات'!$C$38:$G$38,Q$9)</f>
        <v/>
      </c>
      <c r="R59" s="45">
        <f>R58*INDEX('الافتراضات'!$C$38:$G$38,R$9)</f>
        <v/>
      </c>
      <c r="S59" s="45">
        <f>S58*INDEX('الافتراضات'!$C$38:$G$38,S$9)</f>
        <v/>
      </c>
      <c r="T59" s="45">
        <f>T58*INDEX('الافتراضات'!$C$38:$G$38,T$9)</f>
        <v/>
      </c>
      <c r="U59" s="45">
        <f>U58*INDEX('الافتراضات'!$C$38:$G$38,U$9)</f>
        <v/>
      </c>
      <c r="V59" s="45">
        <f>V58*INDEX('الافتراضات'!$C$38:$G$38,V$9)</f>
        <v/>
      </c>
      <c r="W59" s="45">
        <f>W58*INDEX('الافتراضات'!$C$38:$G$38,W$9)</f>
        <v/>
      </c>
      <c r="X59" s="45">
        <f>X58*INDEX('الافتراضات'!$C$38:$G$38,X$9)</f>
        <v/>
      </c>
      <c r="Y59" s="45">
        <f>Y58*INDEX('الافتراضات'!$C$38:$G$38,Y$9)</f>
        <v/>
      </c>
      <c r="Z59" s="45">
        <f>Z58*INDEX('الافتراضات'!$C$38:$G$38,Z$9)</f>
        <v/>
      </c>
      <c r="AA59" s="45">
        <f>AA58*INDEX('الافتراضات'!$C$38:$G$38,AA$9)</f>
        <v/>
      </c>
      <c r="AB59" s="45">
        <f>AB58*INDEX('الافتراضات'!$C$38:$G$38,AB$9)</f>
        <v/>
      </c>
      <c r="AC59" s="45">
        <f>AC58*INDEX('الافتراضات'!$C$38:$G$38,AC$9)</f>
        <v/>
      </c>
      <c r="AD59" s="45">
        <f>AD58*INDEX('الافتراضات'!$C$38:$G$38,AD$9)</f>
        <v/>
      </c>
      <c r="AE59" s="45">
        <f>AE58*INDEX('الافتراضات'!$C$38:$G$38,AE$9)</f>
        <v/>
      </c>
      <c r="AF59" s="45">
        <f>AF58*INDEX('الافتراضات'!$C$38:$G$38,AF$9)</f>
        <v/>
      </c>
      <c r="AG59" s="45">
        <f>AG58*INDEX('الافتراضات'!$C$38:$G$38,AG$9)</f>
        <v/>
      </c>
      <c r="AH59" s="45">
        <f>AH58*INDEX('الافتراضات'!$C$38:$G$38,AH$9)</f>
        <v/>
      </c>
      <c r="AI59" s="45">
        <f>AI58*INDEX('الافتراضات'!$C$38:$G$38,AI$9)</f>
        <v/>
      </c>
      <c r="AJ59" s="45">
        <f>AJ58*INDEX('الافتراضات'!$C$38:$G$38,AJ$9)</f>
        <v/>
      </c>
      <c r="AK59" s="45">
        <f>AK58*INDEX('الافتراضات'!$C$38:$G$38,AK$9)</f>
        <v/>
      </c>
      <c r="AL59" s="45">
        <f>AL58*INDEX('الافتراضات'!$C$38:$G$38,AL$9)</f>
        <v/>
      </c>
      <c r="AM59" s="45">
        <f>AM58*INDEX('الافتراضات'!$C$38:$G$38,AM$9)</f>
        <v/>
      </c>
      <c r="AN59" s="45">
        <f>AN58*INDEX('الافتراضات'!$C$38:$G$38,AN$9)</f>
        <v/>
      </c>
      <c r="AO59" s="45">
        <f>AO58*INDEX('الافتراضات'!$C$38:$G$38,AO$9)</f>
        <v/>
      </c>
      <c r="AP59" s="45">
        <f>AP58*INDEX('الافتراضات'!$C$38:$G$38,AP$9)</f>
        <v/>
      </c>
      <c r="AQ59" s="45">
        <f>AQ58*INDEX('الافتراضات'!$C$38:$G$38,AQ$9)</f>
        <v/>
      </c>
      <c r="AR59" s="45">
        <f>AR58*INDEX('الافتراضات'!$C$38:$G$38,AR$9)</f>
        <v/>
      </c>
      <c r="AS59" s="45">
        <f>AS58*INDEX('الافتراضات'!$C$38:$G$38,AS$9)</f>
        <v/>
      </c>
      <c r="AT59" s="45">
        <f>AT58*INDEX('الافتراضات'!$C$38:$G$38,AT$9)</f>
        <v/>
      </c>
      <c r="AU59" s="45">
        <f>AU58*INDEX('الافتراضات'!$C$38:$G$38,AU$9)</f>
        <v/>
      </c>
      <c r="AV59" s="45">
        <f>AV58*INDEX('الافتراضات'!$C$38:$G$38,AV$9)</f>
        <v/>
      </c>
      <c r="AW59" s="45">
        <f>AW58*INDEX('الافتراضات'!$C$38:$G$38,AW$9)</f>
        <v/>
      </c>
      <c r="AX59" s="45">
        <f>AX58*INDEX('الافتراضات'!$C$38:$G$38,AX$9)</f>
        <v/>
      </c>
      <c r="AY59" s="45">
        <f>AY58*INDEX('الافتراضات'!$C$38:$G$38,AY$9)</f>
        <v/>
      </c>
      <c r="AZ59" s="45">
        <f>AZ58*INDEX('الافتراضات'!$C$38:$G$38,AZ$9)</f>
        <v/>
      </c>
      <c r="BA59" s="45">
        <f>BA58*INDEX('الافتراضات'!$C$38:$G$38,BA$9)</f>
        <v/>
      </c>
      <c r="BB59" s="45">
        <f>BB58*INDEX('الافتراضات'!$C$38:$G$38,BB$9)</f>
        <v/>
      </c>
      <c r="BC59" s="45">
        <f>BC58*INDEX('الافتراضات'!$C$38:$G$38,BC$9)</f>
        <v/>
      </c>
      <c r="BD59" s="45">
        <f>BD58*INDEX('الافتراضات'!$C$38:$G$38,BD$9)</f>
        <v/>
      </c>
      <c r="BE59" s="45">
        <f>BE58*INDEX('الافتراضات'!$C$38:$G$38,BE$9)</f>
        <v/>
      </c>
      <c r="BF59" s="45">
        <f>BF58*INDEX('الافتراضات'!$C$38:$G$38,BF$9)</f>
        <v/>
      </c>
      <c r="BG59" s="45">
        <f>BG58*INDEX('الافتراضات'!$C$38:$G$38,BG$9)</f>
        <v/>
      </c>
      <c r="BH59" s="45">
        <f>BH58*INDEX('الافتراضات'!$C$38:$G$38,BH$9)</f>
        <v/>
      </c>
      <c r="BI59" s="45">
        <f>BI58*INDEX('الافتراضات'!$C$38:$G$38,BI$9)</f>
        <v/>
      </c>
      <c r="BJ59" s="45">
        <f>BJ58*INDEX('الافتراضات'!$C$38:$G$38,BJ$9)</f>
        <v/>
      </c>
      <c r="BK59" s="45">
        <f>BK58*INDEX('الافتراضات'!$C$38:$G$38,BK$9)</f>
        <v/>
      </c>
      <c r="BL59" s="45">
        <f>BL58*INDEX('الافتراضات'!$C$38:$G$38,BL$9)</f>
        <v/>
      </c>
      <c r="BM59" s="45">
        <f>BM58*INDEX('الافتراضات'!$C$38:$G$38,BM$9)</f>
        <v/>
      </c>
    </row>
    <row r="60">
      <c r="A60" s="4" t="inlineStr">
        <is>
          <t>GMV — السوق والصيدليات الشريكة</t>
        </is>
      </c>
      <c r="B60" s="22" t="inlineStr">
        <is>
          <t>ج.م</t>
        </is>
      </c>
      <c r="C60" s="45">
        <f>C58*INDEX('الافتراضات'!$C$39:$G$39,C$9)</f>
        <v/>
      </c>
      <c r="D60" s="45">
        <f>D58*INDEX('الافتراضات'!$C$39:$G$39,D$9)</f>
        <v/>
      </c>
      <c r="E60" s="45">
        <f>E58*INDEX('الافتراضات'!$C$39:$G$39,E$9)</f>
        <v/>
      </c>
      <c r="F60" s="45">
        <f>F58*INDEX('الافتراضات'!$C$39:$G$39,F$9)</f>
        <v/>
      </c>
      <c r="G60" s="45">
        <f>G58*INDEX('الافتراضات'!$C$39:$G$39,G$9)</f>
        <v/>
      </c>
      <c r="H60" s="45">
        <f>H58*INDEX('الافتراضات'!$C$39:$G$39,H$9)</f>
        <v/>
      </c>
      <c r="I60" s="45">
        <f>I58*INDEX('الافتراضات'!$C$39:$G$39,I$9)</f>
        <v/>
      </c>
      <c r="J60" s="45">
        <f>J58*INDEX('الافتراضات'!$C$39:$G$39,J$9)</f>
        <v/>
      </c>
      <c r="K60" s="45">
        <f>K58*INDEX('الافتراضات'!$C$39:$G$39,K$9)</f>
        <v/>
      </c>
      <c r="L60" s="45">
        <f>L58*INDEX('الافتراضات'!$C$39:$G$39,L$9)</f>
        <v/>
      </c>
      <c r="M60" s="45">
        <f>M58*INDEX('الافتراضات'!$C$39:$G$39,M$9)</f>
        <v/>
      </c>
      <c r="N60" s="45">
        <f>N58*INDEX('الافتراضات'!$C$39:$G$39,N$9)</f>
        <v/>
      </c>
      <c r="O60" s="45">
        <f>O58*INDEX('الافتراضات'!$C$39:$G$39,O$9)</f>
        <v/>
      </c>
      <c r="P60" s="45">
        <f>P58*INDEX('الافتراضات'!$C$39:$G$39,P$9)</f>
        <v/>
      </c>
      <c r="Q60" s="45">
        <f>Q58*INDEX('الافتراضات'!$C$39:$G$39,Q$9)</f>
        <v/>
      </c>
      <c r="R60" s="45">
        <f>R58*INDEX('الافتراضات'!$C$39:$G$39,R$9)</f>
        <v/>
      </c>
      <c r="S60" s="45">
        <f>S58*INDEX('الافتراضات'!$C$39:$G$39,S$9)</f>
        <v/>
      </c>
      <c r="T60" s="45">
        <f>T58*INDEX('الافتراضات'!$C$39:$G$39,T$9)</f>
        <v/>
      </c>
      <c r="U60" s="45">
        <f>U58*INDEX('الافتراضات'!$C$39:$G$39,U$9)</f>
        <v/>
      </c>
      <c r="V60" s="45">
        <f>V58*INDEX('الافتراضات'!$C$39:$G$39,V$9)</f>
        <v/>
      </c>
      <c r="W60" s="45">
        <f>W58*INDEX('الافتراضات'!$C$39:$G$39,W$9)</f>
        <v/>
      </c>
      <c r="X60" s="45">
        <f>X58*INDEX('الافتراضات'!$C$39:$G$39,X$9)</f>
        <v/>
      </c>
      <c r="Y60" s="45">
        <f>Y58*INDEX('الافتراضات'!$C$39:$G$39,Y$9)</f>
        <v/>
      </c>
      <c r="Z60" s="45">
        <f>Z58*INDEX('الافتراضات'!$C$39:$G$39,Z$9)</f>
        <v/>
      </c>
      <c r="AA60" s="45">
        <f>AA58*INDEX('الافتراضات'!$C$39:$G$39,AA$9)</f>
        <v/>
      </c>
      <c r="AB60" s="45">
        <f>AB58*INDEX('الافتراضات'!$C$39:$G$39,AB$9)</f>
        <v/>
      </c>
      <c r="AC60" s="45">
        <f>AC58*INDEX('الافتراضات'!$C$39:$G$39,AC$9)</f>
        <v/>
      </c>
      <c r="AD60" s="45">
        <f>AD58*INDEX('الافتراضات'!$C$39:$G$39,AD$9)</f>
        <v/>
      </c>
      <c r="AE60" s="45">
        <f>AE58*INDEX('الافتراضات'!$C$39:$G$39,AE$9)</f>
        <v/>
      </c>
      <c r="AF60" s="45">
        <f>AF58*INDEX('الافتراضات'!$C$39:$G$39,AF$9)</f>
        <v/>
      </c>
      <c r="AG60" s="45">
        <f>AG58*INDEX('الافتراضات'!$C$39:$G$39,AG$9)</f>
        <v/>
      </c>
      <c r="AH60" s="45">
        <f>AH58*INDEX('الافتراضات'!$C$39:$G$39,AH$9)</f>
        <v/>
      </c>
      <c r="AI60" s="45">
        <f>AI58*INDEX('الافتراضات'!$C$39:$G$39,AI$9)</f>
        <v/>
      </c>
      <c r="AJ60" s="45">
        <f>AJ58*INDEX('الافتراضات'!$C$39:$G$39,AJ$9)</f>
        <v/>
      </c>
      <c r="AK60" s="45">
        <f>AK58*INDEX('الافتراضات'!$C$39:$G$39,AK$9)</f>
        <v/>
      </c>
      <c r="AL60" s="45">
        <f>AL58*INDEX('الافتراضات'!$C$39:$G$39,AL$9)</f>
        <v/>
      </c>
      <c r="AM60" s="45">
        <f>AM58*INDEX('الافتراضات'!$C$39:$G$39,AM$9)</f>
        <v/>
      </c>
      <c r="AN60" s="45">
        <f>AN58*INDEX('الافتراضات'!$C$39:$G$39,AN$9)</f>
        <v/>
      </c>
      <c r="AO60" s="45">
        <f>AO58*INDEX('الافتراضات'!$C$39:$G$39,AO$9)</f>
        <v/>
      </c>
      <c r="AP60" s="45">
        <f>AP58*INDEX('الافتراضات'!$C$39:$G$39,AP$9)</f>
        <v/>
      </c>
      <c r="AQ60" s="45">
        <f>AQ58*INDEX('الافتراضات'!$C$39:$G$39,AQ$9)</f>
        <v/>
      </c>
      <c r="AR60" s="45">
        <f>AR58*INDEX('الافتراضات'!$C$39:$G$39,AR$9)</f>
        <v/>
      </c>
      <c r="AS60" s="45">
        <f>AS58*INDEX('الافتراضات'!$C$39:$G$39,AS$9)</f>
        <v/>
      </c>
      <c r="AT60" s="45">
        <f>AT58*INDEX('الافتراضات'!$C$39:$G$39,AT$9)</f>
        <v/>
      </c>
      <c r="AU60" s="45">
        <f>AU58*INDEX('الافتراضات'!$C$39:$G$39,AU$9)</f>
        <v/>
      </c>
      <c r="AV60" s="45">
        <f>AV58*INDEX('الافتراضات'!$C$39:$G$39,AV$9)</f>
        <v/>
      </c>
      <c r="AW60" s="45">
        <f>AW58*INDEX('الافتراضات'!$C$39:$G$39,AW$9)</f>
        <v/>
      </c>
      <c r="AX60" s="45">
        <f>AX58*INDEX('الافتراضات'!$C$39:$G$39,AX$9)</f>
        <v/>
      </c>
      <c r="AY60" s="45">
        <f>AY58*INDEX('الافتراضات'!$C$39:$G$39,AY$9)</f>
        <v/>
      </c>
      <c r="AZ60" s="45">
        <f>AZ58*INDEX('الافتراضات'!$C$39:$G$39,AZ$9)</f>
        <v/>
      </c>
      <c r="BA60" s="45">
        <f>BA58*INDEX('الافتراضات'!$C$39:$G$39,BA$9)</f>
        <v/>
      </c>
      <c r="BB60" s="45">
        <f>BB58*INDEX('الافتراضات'!$C$39:$G$39,BB$9)</f>
        <v/>
      </c>
      <c r="BC60" s="45">
        <f>BC58*INDEX('الافتراضات'!$C$39:$G$39,BC$9)</f>
        <v/>
      </c>
      <c r="BD60" s="45">
        <f>BD58*INDEX('الافتراضات'!$C$39:$G$39,BD$9)</f>
        <v/>
      </c>
      <c r="BE60" s="45">
        <f>BE58*INDEX('الافتراضات'!$C$39:$G$39,BE$9)</f>
        <v/>
      </c>
      <c r="BF60" s="45">
        <f>BF58*INDEX('الافتراضات'!$C$39:$G$39,BF$9)</f>
        <v/>
      </c>
      <c r="BG60" s="45">
        <f>BG58*INDEX('الافتراضات'!$C$39:$G$39,BG$9)</f>
        <v/>
      </c>
      <c r="BH60" s="45">
        <f>BH58*INDEX('الافتراضات'!$C$39:$G$39,BH$9)</f>
        <v/>
      </c>
      <c r="BI60" s="45">
        <f>BI58*INDEX('الافتراضات'!$C$39:$G$39,BI$9)</f>
        <v/>
      </c>
      <c r="BJ60" s="45">
        <f>BJ58*INDEX('الافتراضات'!$C$39:$G$39,BJ$9)</f>
        <v/>
      </c>
      <c r="BK60" s="45">
        <f>BK58*INDEX('الافتراضات'!$C$39:$G$39,BK$9)</f>
        <v/>
      </c>
      <c r="BL60" s="45">
        <f>BL58*INDEX('الافتراضات'!$C$39:$G$39,BL$9)</f>
        <v/>
      </c>
      <c r="BM60" s="45">
        <f>BM58*INDEX('الافتراضات'!$C$39:$G$39,BM$9)</f>
        <v/>
      </c>
    </row>
    <row r="61">
      <c r="A61" s="4" t="inlineStr">
        <is>
          <t>GMV — الأكل</t>
        </is>
      </c>
      <c r="B61" s="22" t="inlineStr">
        <is>
          <t>ج.م</t>
        </is>
      </c>
      <c r="C61" s="45">
        <f>C58*INDEX('الافتراضات'!$C$40:$G$40,C$9)</f>
        <v/>
      </c>
      <c r="D61" s="45">
        <f>D58*INDEX('الافتراضات'!$C$40:$G$40,D$9)</f>
        <v/>
      </c>
      <c r="E61" s="45">
        <f>E58*INDEX('الافتراضات'!$C$40:$G$40,E$9)</f>
        <v/>
      </c>
      <c r="F61" s="45">
        <f>F58*INDEX('الافتراضات'!$C$40:$G$40,F$9)</f>
        <v/>
      </c>
      <c r="G61" s="45">
        <f>G58*INDEX('الافتراضات'!$C$40:$G$40,G$9)</f>
        <v/>
      </c>
      <c r="H61" s="45">
        <f>H58*INDEX('الافتراضات'!$C$40:$G$40,H$9)</f>
        <v/>
      </c>
      <c r="I61" s="45">
        <f>I58*INDEX('الافتراضات'!$C$40:$G$40,I$9)</f>
        <v/>
      </c>
      <c r="J61" s="45">
        <f>J58*INDEX('الافتراضات'!$C$40:$G$40,J$9)</f>
        <v/>
      </c>
      <c r="K61" s="45">
        <f>K58*INDEX('الافتراضات'!$C$40:$G$40,K$9)</f>
        <v/>
      </c>
      <c r="L61" s="45">
        <f>L58*INDEX('الافتراضات'!$C$40:$G$40,L$9)</f>
        <v/>
      </c>
      <c r="M61" s="45">
        <f>M58*INDEX('الافتراضات'!$C$40:$G$40,M$9)</f>
        <v/>
      </c>
      <c r="N61" s="45">
        <f>N58*INDEX('الافتراضات'!$C$40:$G$40,N$9)</f>
        <v/>
      </c>
      <c r="O61" s="45">
        <f>O58*INDEX('الافتراضات'!$C$40:$G$40,O$9)</f>
        <v/>
      </c>
      <c r="P61" s="45">
        <f>P58*INDEX('الافتراضات'!$C$40:$G$40,P$9)</f>
        <v/>
      </c>
      <c r="Q61" s="45">
        <f>Q58*INDEX('الافتراضات'!$C$40:$G$40,Q$9)</f>
        <v/>
      </c>
      <c r="R61" s="45">
        <f>R58*INDEX('الافتراضات'!$C$40:$G$40,R$9)</f>
        <v/>
      </c>
      <c r="S61" s="45">
        <f>S58*INDEX('الافتراضات'!$C$40:$G$40,S$9)</f>
        <v/>
      </c>
      <c r="T61" s="45">
        <f>T58*INDEX('الافتراضات'!$C$40:$G$40,T$9)</f>
        <v/>
      </c>
      <c r="U61" s="45">
        <f>U58*INDEX('الافتراضات'!$C$40:$G$40,U$9)</f>
        <v/>
      </c>
      <c r="V61" s="45">
        <f>V58*INDEX('الافتراضات'!$C$40:$G$40,V$9)</f>
        <v/>
      </c>
      <c r="W61" s="45">
        <f>W58*INDEX('الافتراضات'!$C$40:$G$40,W$9)</f>
        <v/>
      </c>
      <c r="X61" s="45">
        <f>X58*INDEX('الافتراضات'!$C$40:$G$40,X$9)</f>
        <v/>
      </c>
      <c r="Y61" s="45">
        <f>Y58*INDEX('الافتراضات'!$C$40:$G$40,Y$9)</f>
        <v/>
      </c>
      <c r="Z61" s="45">
        <f>Z58*INDEX('الافتراضات'!$C$40:$G$40,Z$9)</f>
        <v/>
      </c>
      <c r="AA61" s="45">
        <f>AA58*INDEX('الافتراضات'!$C$40:$G$40,AA$9)</f>
        <v/>
      </c>
      <c r="AB61" s="45">
        <f>AB58*INDEX('الافتراضات'!$C$40:$G$40,AB$9)</f>
        <v/>
      </c>
      <c r="AC61" s="45">
        <f>AC58*INDEX('الافتراضات'!$C$40:$G$40,AC$9)</f>
        <v/>
      </c>
      <c r="AD61" s="45">
        <f>AD58*INDEX('الافتراضات'!$C$40:$G$40,AD$9)</f>
        <v/>
      </c>
      <c r="AE61" s="45">
        <f>AE58*INDEX('الافتراضات'!$C$40:$G$40,AE$9)</f>
        <v/>
      </c>
      <c r="AF61" s="45">
        <f>AF58*INDEX('الافتراضات'!$C$40:$G$40,AF$9)</f>
        <v/>
      </c>
      <c r="AG61" s="45">
        <f>AG58*INDEX('الافتراضات'!$C$40:$G$40,AG$9)</f>
        <v/>
      </c>
      <c r="AH61" s="45">
        <f>AH58*INDEX('الافتراضات'!$C$40:$G$40,AH$9)</f>
        <v/>
      </c>
      <c r="AI61" s="45">
        <f>AI58*INDEX('الافتراضات'!$C$40:$G$40,AI$9)</f>
        <v/>
      </c>
      <c r="AJ61" s="45">
        <f>AJ58*INDEX('الافتراضات'!$C$40:$G$40,AJ$9)</f>
        <v/>
      </c>
      <c r="AK61" s="45">
        <f>AK58*INDEX('الافتراضات'!$C$40:$G$40,AK$9)</f>
        <v/>
      </c>
      <c r="AL61" s="45">
        <f>AL58*INDEX('الافتراضات'!$C$40:$G$40,AL$9)</f>
        <v/>
      </c>
      <c r="AM61" s="45">
        <f>AM58*INDEX('الافتراضات'!$C$40:$G$40,AM$9)</f>
        <v/>
      </c>
      <c r="AN61" s="45">
        <f>AN58*INDEX('الافتراضات'!$C$40:$G$40,AN$9)</f>
        <v/>
      </c>
      <c r="AO61" s="45">
        <f>AO58*INDEX('الافتراضات'!$C$40:$G$40,AO$9)</f>
        <v/>
      </c>
      <c r="AP61" s="45">
        <f>AP58*INDEX('الافتراضات'!$C$40:$G$40,AP$9)</f>
        <v/>
      </c>
      <c r="AQ61" s="45">
        <f>AQ58*INDEX('الافتراضات'!$C$40:$G$40,AQ$9)</f>
        <v/>
      </c>
      <c r="AR61" s="45">
        <f>AR58*INDEX('الافتراضات'!$C$40:$G$40,AR$9)</f>
        <v/>
      </c>
      <c r="AS61" s="45">
        <f>AS58*INDEX('الافتراضات'!$C$40:$G$40,AS$9)</f>
        <v/>
      </c>
      <c r="AT61" s="45">
        <f>AT58*INDEX('الافتراضات'!$C$40:$G$40,AT$9)</f>
        <v/>
      </c>
      <c r="AU61" s="45">
        <f>AU58*INDEX('الافتراضات'!$C$40:$G$40,AU$9)</f>
        <v/>
      </c>
      <c r="AV61" s="45">
        <f>AV58*INDEX('الافتراضات'!$C$40:$G$40,AV$9)</f>
        <v/>
      </c>
      <c r="AW61" s="45">
        <f>AW58*INDEX('الافتراضات'!$C$40:$G$40,AW$9)</f>
        <v/>
      </c>
      <c r="AX61" s="45">
        <f>AX58*INDEX('الافتراضات'!$C$40:$G$40,AX$9)</f>
        <v/>
      </c>
      <c r="AY61" s="45">
        <f>AY58*INDEX('الافتراضات'!$C$40:$G$40,AY$9)</f>
        <v/>
      </c>
      <c r="AZ61" s="45">
        <f>AZ58*INDEX('الافتراضات'!$C$40:$G$40,AZ$9)</f>
        <v/>
      </c>
      <c r="BA61" s="45">
        <f>BA58*INDEX('الافتراضات'!$C$40:$G$40,BA$9)</f>
        <v/>
      </c>
      <c r="BB61" s="45">
        <f>BB58*INDEX('الافتراضات'!$C$40:$G$40,BB$9)</f>
        <v/>
      </c>
      <c r="BC61" s="45">
        <f>BC58*INDEX('الافتراضات'!$C$40:$G$40,BC$9)</f>
        <v/>
      </c>
      <c r="BD61" s="45">
        <f>BD58*INDEX('الافتراضات'!$C$40:$G$40,BD$9)</f>
        <v/>
      </c>
      <c r="BE61" s="45">
        <f>BE58*INDEX('الافتراضات'!$C$40:$G$40,BE$9)</f>
        <v/>
      </c>
      <c r="BF61" s="45">
        <f>BF58*INDEX('الافتراضات'!$C$40:$G$40,BF$9)</f>
        <v/>
      </c>
      <c r="BG61" s="45">
        <f>BG58*INDEX('الافتراضات'!$C$40:$G$40,BG$9)</f>
        <v/>
      </c>
      <c r="BH61" s="45">
        <f>BH58*INDEX('الافتراضات'!$C$40:$G$40,BH$9)</f>
        <v/>
      </c>
      <c r="BI61" s="45">
        <f>BI58*INDEX('الافتراضات'!$C$40:$G$40,BI$9)</f>
        <v/>
      </c>
      <c r="BJ61" s="45">
        <f>BJ58*INDEX('الافتراضات'!$C$40:$G$40,BJ$9)</f>
        <v/>
      </c>
      <c r="BK61" s="45">
        <f>BK58*INDEX('الافتراضات'!$C$40:$G$40,BK$9)</f>
        <v/>
      </c>
      <c r="BL61" s="45">
        <f>BL58*INDEX('الافتراضات'!$C$40:$G$40,BL$9)</f>
        <v/>
      </c>
      <c r="BM61" s="45">
        <f>BM58*INDEX('الافتراضات'!$C$40:$G$40,BM$9)</f>
        <v/>
      </c>
    </row>
    <row r="62"/>
    <row r="63">
      <c r="A63" s="40" t="inlineStr">
        <is>
          <t>مصادر الإيراد</t>
        </is>
      </c>
      <c r="B63" s="41" t="n"/>
      <c r="C63" s="41" t="n"/>
      <c r="D63" s="41" t="n"/>
      <c r="E63" s="41" t="n"/>
      <c r="F63" s="41" t="n"/>
      <c r="G63" s="41" t="n"/>
      <c r="H63" s="41" t="n"/>
      <c r="I63" s="41" t="n"/>
      <c r="J63" s="41" t="n"/>
      <c r="K63" s="41" t="n"/>
      <c r="L63" s="41" t="n"/>
      <c r="M63" s="41" t="n"/>
      <c r="N63" s="41" t="n"/>
      <c r="O63" s="41" t="n"/>
      <c r="P63" s="41" t="n"/>
      <c r="Q63" s="41" t="n"/>
      <c r="R63" s="41" t="n"/>
      <c r="S63" s="41" t="n"/>
      <c r="T63" s="41" t="n"/>
      <c r="U63" s="41" t="n"/>
      <c r="V63" s="41" t="n"/>
      <c r="W63" s="41" t="n"/>
      <c r="X63" s="41" t="n"/>
      <c r="Y63" s="41" t="n"/>
      <c r="Z63" s="41" t="n"/>
      <c r="AA63" s="41" t="n"/>
      <c r="AB63" s="41" t="n"/>
      <c r="AC63" s="41" t="n"/>
      <c r="AD63" s="41" t="n"/>
      <c r="AE63" s="41" t="n"/>
      <c r="AF63" s="41" t="n"/>
      <c r="AG63" s="41" t="n"/>
      <c r="AH63" s="41" t="n"/>
      <c r="AI63" s="41" t="n"/>
      <c r="AJ63" s="41" t="n"/>
      <c r="AK63" s="41" t="n"/>
      <c r="AL63" s="41" t="n"/>
      <c r="AM63" s="41" t="n"/>
      <c r="AN63" s="41" t="n"/>
      <c r="AO63" s="41" t="n"/>
      <c r="AP63" s="41" t="n"/>
      <c r="AQ63" s="41" t="n"/>
      <c r="AR63" s="41" t="n"/>
      <c r="AS63" s="41" t="n"/>
      <c r="AT63" s="41" t="n"/>
      <c r="AU63" s="41" t="n"/>
      <c r="AV63" s="41" t="n"/>
      <c r="AW63" s="41" t="n"/>
      <c r="AX63" s="41" t="n"/>
      <c r="AY63" s="41" t="n"/>
      <c r="AZ63" s="41" t="n"/>
      <c r="BA63" s="41" t="n"/>
      <c r="BB63" s="41" t="n"/>
      <c r="BC63" s="41" t="n"/>
      <c r="BD63" s="41" t="n"/>
      <c r="BE63" s="41" t="n"/>
      <c r="BF63" s="41" t="n"/>
      <c r="BG63" s="41" t="n"/>
      <c r="BH63" s="41" t="n"/>
      <c r="BI63" s="41" t="n"/>
      <c r="BJ63" s="41" t="n"/>
      <c r="BK63" s="41" t="n"/>
      <c r="BL63" s="41" t="n"/>
      <c r="BM63" s="41" t="n"/>
    </row>
    <row r="64">
      <c r="A64" s="4" t="inlineStr">
        <is>
          <t>1. مبيعات المنتجات (مخزون مملوك)</t>
        </is>
      </c>
      <c r="B64" s="22" t="inlineStr">
        <is>
          <t>ج.م</t>
        </is>
      </c>
      <c r="C64" s="45">
        <f>C59</f>
        <v/>
      </c>
      <c r="D64" s="45">
        <f>D59</f>
        <v/>
      </c>
      <c r="E64" s="45">
        <f>E59</f>
        <v/>
      </c>
      <c r="F64" s="45">
        <f>F59</f>
        <v/>
      </c>
      <c r="G64" s="45">
        <f>G59</f>
        <v/>
      </c>
      <c r="H64" s="45">
        <f>H59</f>
        <v/>
      </c>
      <c r="I64" s="45">
        <f>I59</f>
        <v/>
      </c>
      <c r="J64" s="45">
        <f>J59</f>
        <v/>
      </c>
      <c r="K64" s="45">
        <f>K59</f>
        <v/>
      </c>
      <c r="L64" s="45">
        <f>L59</f>
        <v/>
      </c>
      <c r="M64" s="45">
        <f>M59</f>
        <v/>
      </c>
      <c r="N64" s="45">
        <f>N59</f>
        <v/>
      </c>
      <c r="O64" s="45">
        <f>O59</f>
        <v/>
      </c>
      <c r="P64" s="45">
        <f>P59</f>
        <v/>
      </c>
      <c r="Q64" s="45">
        <f>Q59</f>
        <v/>
      </c>
      <c r="R64" s="45">
        <f>R59</f>
        <v/>
      </c>
      <c r="S64" s="45">
        <f>S59</f>
        <v/>
      </c>
      <c r="T64" s="45">
        <f>T59</f>
        <v/>
      </c>
      <c r="U64" s="45">
        <f>U59</f>
        <v/>
      </c>
      <c r="V64" s="45">
        <f>V59</f>
        <v/>
      </c>
      <c r="W64" s="45">
        <f>W59</f>
        <v/>
      </c>
      <c r="X64" s="45">
        <f>X59</f>
        <v/>
      </c>
      <c r="Y64" s="45">
        <f>Y59</f>
        <v/>
      </c>
      <c r="Z64" s="45">
        <f>Z59</f>
        <v/>
      </c>
      <c r="AA64" s="45">
        <f>AA59</f>
        <v/>
      </c>
      <c r="AB64" s="45">
        <f>AB59</f>
        <v/>
      </c>
      <c r="AC64" s="45">
        <f>AC59</f>
        <v/>
      </c>
      <c r="AD64" s="45">
        <f>AD59</f>
        <v/>
      </c>
      <c r="AE64" s="45">
        <f>AE59</f>
        <v/>
      </c>
      <c r="AF64" s="45">
        <f>AF59</f>
        <v/>
      </c>
      <c r="AG64" s="45">
        <f>AG59</f>
        <v/>
      </c>
      <c r="AH64" s="45">
        <f>AH59</f>
        <v/>
      </c>
      <c r="AI64" s="45">
        <f>AI59</f>
        <v/>
      </c>
      <c r="AJ64" s="45">
        <f>AJ59</f>
        <v/>
      </c>
      <c r="AK64" s="45">
        <f>AK59</f>
        <v/>
      </c>
      <c r="AL64" s="45">
        <f>AL59</f>
        <v/>
      </c>
      <c r="AM64" s="45">
        <f>AM59</f>
        <v/>
      </c>
      <c r="AN64" s="45">
        <f>AN59</f>
        <v/>
      </c>
      <c r="AO64" s="45">
        <f>AO59</f>
        <v/>
      </c>
      <c r="AP64" s="45">
        <f>AP59</f>
        <v/>
      </c>
      <c r="AQ64" s="45">
        <f>AQ59</f>
        <v/>
      </c>
      <c r="AR64" s="45">
        <f>AR59</f>
        <v/>
      </c>
      <c r="AS64" s="45">
        <f>AS59</f>
        <v/>
      </c>
      <c r="AT64" s="45">
        <f>AT59</f>
        <v/>
      </c>
      <c r="AU64" s="45">
        <f>AU59</f>
        <v/>
      </c>
      <c r="AV64" s="45">
        <f>AV59</f>
        <v/>
      </c>
      <c r="AW64" s="45">
        <f>AW59</f>
        <v/>
      </c>
      <c r="AX64" s="45">
        <f>AX59</f>
        <v/>
      </c>
      <c r="AY64" s="45">
        <f>AY59</f>
        <v/>
      </c>
      <c r="AZ64" s="45">
        <f>AZ59</f>
        <v/>
      </c>
      <c r="BA64" s="45">
        <f>BA59</f>
        <v/>
      </c>
      <c r="BB64" s="45">
        <f>BB59</f>
        <v/>
      </c>
      <c r="BC64" s="45">
        <f>BC59</f>
        <v/>
      </c>
      <c r="BD64" s="45">
        <f>BD59</f>
        <v/>
      </c>
      <c r="BE64" s="45">
        <f>BE59</f>
        <v/>
      </c>
      <c r="BF64" s="45">
        <f>BF59</f>
        <v/>
      </c>
      <c r="BG64" s="45">
        <f>BG59</f>
        <v/>
      </c>
      <c r="BH64" s="45">
        <f>BH59</f>
        <v/>
      </c>
      <c r="BI64" s="45">
        <f>BI59</f>
        <v/>
      </c>
      <c r="BJ64" s="45">
        <f>BJ59</f>
        <v/>
      </c>
      <c r="BK64" s="45">
        <f>BK59</f>
        <v/>
      </c>
      <c r="BL64" s="45">
        <f>BL59</f>
        <v/>
      </c>
      <c r="BM64" s="45">
        <f>BM59</f>
        <v/>
      </c>
    </row>
    <row r="65">
      <c r="A65" s="4" t="inlineStr">
        <is>
          <t>2. عمولة السوق والصيدليات</t>
        </is>
      </c>
      <c r="B65" s="22" t="inlineStr">
        <is>
          <t>ج.م</t>
        </is>
      </c>
      <c r="C65" s="45">
        <f>C60*INDEX('الافتراضات'!$C$48:$G$48,C$9)</f>
        <v/>
      </c>
      <c r="D65" s="45">
        <f>D60*INDEX('الافتراضات'!$C$48:$G$48,D$9)</f>
        <v/>
      </c>
      <c r="E65" s="45">
        <f>E60*INDEX('الافتراضات'!$C$48:$G$48,E$9)</f>
        <v/>
      </c>
      <c r="F65" s="45">
        <f>F60*INDEX('الافتراضات'!$C$48:$G$48,F$9)</f>
        <v/>
      </c>
      <c r="G65" s="45">
        <f>G60*INDEX('الافتراضات'!$C$48:$G$48,G$9)</f>
        <v/>
      </c>
      <c r="H65" s="45">
        <f>H60*INDEX('الافتراضات'!$C$48:$G$48,H$9)</f>
        <v/>
      </c>
      <c r="I65" s="45">
        <f>I60*INDEX('الافتراضات'!$C$48:$G$48,I$9)</f>
        <v/>
      </c>
      <c r="J65" s="45">
        <f>J60*INDEX('الافتراضات'!$C$48:$G$48,J$9)</f>
        <v/>
      </c>
      <c r="K65" s="45">
        <f>K60*INDEX('الافتراضات'!$C$48:$G$48,K$9)</f>
        <v/>
      </c>
      <c r="L65" s="45">
        <f>L60*INDEX('الافتراضات'!$C$48:$G$48,L$9)</f>
        <v/>
      </c>
      <c r="M65" s="45">
        <f>M60*INDEX('الافتراضات'!$C$48:$G$48,M$9)</f>
        <v/>
      </c>
      <c r="N65" s="45">
        <f>N60*INDEX('الافتراضات'!$C$48:$G$48,N$9)</f>
        <v/>
      </c>
      <c r="O65" s="45">
        <f>O60*INDEX('الافتراضات'!$C$48:$G$48,O$9)</f>
        <v/>
      </c>
      <c r="P65" s="45">
        <f>P60*INDEX('الافتراضات'!$C$48:$G$48,P$9)</f>
        <v/>
      </c>
      <c r="Q65" s="45">
        <f>Q60*INDEX('الافتراضات'!$C$48:$G$48,Q$9)</f>
        <v/>
      </c>
      <c r="R65" s="45">
        <f>R60*INDEX('الافتراضات'!$C$48:$G$48,R$9)</f>
        <v/>
      </c>
      <c r="S65" s="45">
        <f>S60*INDEX('الافتراضات'!$C$48:$G$48,S$9)</f>
        <v/>
      </c>
      <c r="T65" s="45">
        <f>T60*INDEX('الافتراضات'!$C$48:$G$48,T$9)</f>
        <v/>
      </c>
      <c r="U65" s="45">
        <f>U60*INDEX('الافتراضات'!$C$48:$G$48,U$9)</f>
        <v/>
      </c>
      <c r="V65" s="45">
        <f>V60*INDEX('الافتراضات'!$C$48:$G$48,V$9)</f>
        <v/>
      </c>
      <c r="W65" s="45">
        <f>W60*INDEX('الافتراضات'!$C$48:$G$48,W$9)</f>
        <v/>
      </c>
      <c r="X65" s="45">
        <f>X60*INDEX('الافتراضات'!$C$48:$G$48,X$9)</f>
        <v/>
      </c>
      <c r="Y65" s="45">
        <f>Y60*INDEX('الافتراضات'!$C$48:$G$48,Y$9)</f>
        <v/>
      </c>
      <c r="Z65" s="45">
        <f>Z60*INDEX('الافتراضات'!$C$48:$G$48,Z$9)</f>
        <v/>
      </c>
      <c r="AA65" s="45">
        <f>AA60*INDEX('الافتراضات'!$C$48:$G$48,AA$9)</f>
        <v/>
      </c>
      <c r="AB65" s="45">
        <f>AB60*INDEX('الافتراضات'!$C$48:$G$48,AB$9)</f>
        <v/>
      </c>
      <c r="AC65" s="45">
        <f>AC60*INDEX('الافتراضات'!$C$48:$G$48,AC$9)</f>
        <v/>
      </c>
      <c r="AD65" s="45">
        <f>AD60*INDEX('الافتراضات'!$C$48:$G$48,AD$9)</f>
        <v/>
      </c>
      <c r="AE65" s="45">
        <f>AE60*INDEX('الافتراضات'!$C$48:$G$48,AE$9)</f>
        <v/>
      </c>
      <c r="AF65" s="45">
        <f>AF60*INDEX('الافتراضات'!$C$48:$G$48,AF$9)</f>
        <v/>
      </c>
      <c r="AG65" s="45">
        <f>AG60*INDEX('الافتراضات'!$C$48:$G$48,AG$9)</f>
        <v/>
      </c>
      <c r="AH65" s="45">
        <f>AH60*INDEX('الافتراضات'!$C$48:$G$48,AH$9)</f>
        <v/>
      </c>
      <c r="AI65" s="45">
        <f>AI60*INDEX('الافتراضات'!$C$48:$G$48,AI$9)</f>
        <v/>
      </c>
      <c r="AJ65" s="45">
        <f>AJ60*INDEX('الافتراضات'!$C$48:$G$48,AJ$9)</f>
        <v/>
      </c>
      <c r="AK65" s="45">
        <f>AK60*INDEX('الافتراضات'!$C$48:$G$48,AK$9)</f>
        <v/>
      </c>
      <c r="AL65" s="45">
        <f>AL60*INDEX('الافتراضات'!$C$48:$G$48,AL$9)</f>
        <v/>
      </c>
      <c r="AM65" s="45">
        <f>AM60*INDEX('الافتراضات'!$C$48:$G$48,AM$9)</f>
        <v/>
      </c>
      <c r="AN65" s="45">
        <f>AN60*INDEX('الافتراضات'!$C$48:$G$48,AN$9)</f>
        <v/>
      </c>
      <c r="AO65" s="45">
        <f>AO60*INDEX('الافتراضات'!$C$48:$G$48,AO$9)</f>
        <v/>
      </c>
      <c r="AP65" s="45">
        <f>AP60*INDEX('الافتراضات'!$C$48:$G$48,AP$9)</f>
        <v/>
      </c>
      <c r="AQ65" s="45">
        <f>AQ60*INDEX('الافتراضات'!$C$48:$G$48,AQ$9)</f>
        <v/>
      </c>
      <c r="AR65" s="45">
        <f>AR60*INDEX('الافتراضات'!$C$48:$G$48,AR$9)</f>
        <v/>
      </c>
      <c r="AS65" s="45">
        <f>AS60*INDEX('الافتراضات'!$C$48:$G$48,AS$9)</f>
        <v/>
      </c>
      <c r="AT65" s="45">
        <f>AT60*INDEX('الافتراضات'!$C$48:$G$48,AT$9)</f>
        <v/>
      </c>
      <c r="AU65" s="45">
        <f>AU60*INDEX('الافتراضات'!$C$48:$G$48,AU$9)</f>
        <v/>
      </c>
      <c r="AV65" s="45">
        <f>AV60*INDEX('الافتراضات'!$C$48:$G$48,AV$9)</f>
        <v/>
      </c>
      <c r="AW65" s="45">
        <f>AW60*INDEX('الافتراضات'!$C$48:$G$48,AW$9)</f>
        <v/>
      </c>
      <c r="AX65" s="45">
        <f>AX60*INDEX('الافتراضات'!$C$48:$G$48,AX$9)</f>
        <v/>
      </c>
      <c r="AY65" s="45">
        <f>AY60*INDEX('الافتراضات'!$C$48:$G$48,AY$9)</f>
        <v/>
      </c>
      <c r="AZ65" s="45">
        <f>AZ60*INDEX('الافتراضات'!$C$48:$G$48,AZ$9)</f>
        <v/>
      </c>
      <c r="BA65" s="45">
        <f>BA60*INDEX('الافتراضات'!$C$48:$G$48,BA$9)</f>
        <v/>
      </c>
      <c r="BB65" s="45">
        <f>BB60*INDEX('الافتراضات'!$C$48:$G$48,BB$9)</f>
        <v/>
      </c>
      <c r="BC65" s="45">
        <f>BC60*INDEX('الافتراضات'!$C$48:$G$48,BC$9)</f>
        <v/>
      </c>
      <c r="BD65" s="45">
        <f>BD60*INDEX('الافتراضات'!$C$48:$G$48,BD$9)</f>
        <v/>
      </c>
      <c r="BE65" s="45">
        <f>BE60*INDEX('الافتراضات'!$C$48:$G$48,BE$9)</f>
        <v/>
      </c>
      <c r="BF65" s="45">
        <f>BF60*INDEX('الافتراضات'!$C$48:$G$48,BF$9)</f>
        <v/>
      </c>
      <c r="BG65" s="45">
        <f>BG60*INDEX('الافتراضات'!$C$48:$G$48,BG$9)</f>
        <v/>
      </c>
      <c r="BH65" s="45">
        <f>BH60*INDEX('الافتراضات'!$C$48:$G$48,BH$9)</f>
        <v/>
      </c>
      <c r="BI65" s="45">
        <f>BI60*INDEX('الافتراضات'!$C$48:$G$48,BI$9)</f>
        <v/>
      </c>
      <c r="BJ65" s="45">
        <f>BJ60*INDEX('الافتراضات'!$C$48:$G$48,BJ$9)</f>
        <v/>
      </c>
      <c r="BK65" s="45">
        <f>BK60*INDEX('الافتراضات'!$C$48:$G$48,BK$9)</f>
        <v/>
      </c>
      <c r="BL65" s="45">
        <f>BL60*INDEX('الافتراضات'!$C$48:$G$48,BL$9)</f>
        <v/>
      </c>
      <c r="BM65" s="45">
        <f>BM60*INDEX('الافتراضات'!$C$48:$G$48,BM$9)</f>
        <v/>
      </c>
    </row>
    <row r="66">
      <c r="A66" s="4" t="inlineStr">
        <is>
          <t>3. عمولة المطاعم</t>
        </is>
      </c>
      <c r="B66" s="22" t="inlineStr">
        <is>
          <t>ج.م</t>
        </is>
      </c>
      <c r="C66" s="45">
        <f>C61*INDEX('الافتراضات'!$C$49:$G$49,C$9)</f>
        <v/>
      </c>
      <c r="D66" s="45">
        <f>D61*INDEX('الافتراضات'!$C$49:$G$49,D$9)</f>
        <v/>
      </c>
      <c r="E66" s="45">
        <f>E61*INDEX('الافتراضات'!$C$49:$G$49,E$9)</f>
        <v/>
      </c>
      <c r="F66" s="45">
        <f>F61*INDEX('الافتراضات'!$C$49:$G$49,F$9)</f>
        <v/>
      </c>
      <c r="G66" s="45">
        <f>G61*INDEX('الافتراضات'!$C$49:$G$49,G$9)</f>
        <v/>
      </c>
      <c r="H66" s="45">
        <f>H61*INDEX('الافتراضات'!$C$49:$G$49,H$9)</f>
        <v/>
      </c>
      <c r="I66" s="45">
        <f>I61*INDEX('الافتراضات'!$C$49:$G$49,I$9)</f>
        <v/>
      </c>
      <c r="J66" s="45">
        <f>J61*INDEX('الافتراضات'!$C$49:$G$49,J$9)</f>
        <v/>
      </c>
      <c r="K66" s="45">
        <f>K61*INDEX('الافتراضات'!$C$49:$G$49,K$9)</f>
        <v/>
      </c>
      <c r="L66" s="45">
        <f>L61*INDEX('الافتراضات'!$C$49:$G$49,L$9)</f>
        <v/>
      </c>
      <c r="M66" s="45">
        <f>M61*INDEX('الافتراضات'!$C$49:$G$49,M$9)</f>
        <v/>
      </c>
      <c r="N66" s="45">
        <f>N61*INDEX('الافتراضات'!$C$49:$G$49,N$9)</f>
        <v/>
      </c>
      <c r="O66" s="45">
        <f>O61*INDEX('الافتراضات'!$C$49:$G$49,O$9)</f>
        <v/>
      </c>
      <c r="P66" s="45">
        <f>P61*INDEX('الافتراضات'!$C$49:$G$49,P$9)</f>
        <v/>
      </c>
      <c r="Q66" s="45">
        <f>Q61*INDEX('الافتراضات'!$C$49:$G$49,Q$9)</f>
        <v/>
      </c>
      <c r="R66" s="45">
        <f>R61*INDEX('الافتراضات'!$C$49:$G$49,R$9)</f>
        <v/>
      </c>
      <c r="S66" s="45">
        <f>S61*INDEX('الافتراضات'!$C$49:$G$49,S$9)</f>
        <v/>
      </c>
      <c r="T66" s="45">
        <f>T61*INDEX('الافتراضات'!$C$49:$G$49,T$9)</f>
        <v/>
      </c>
      <c r="U66" s="45">
        <f>U61*INDEX('الافتراضات'!$C$49:$G$49,U$9)</f>
        <v/>
      </c>
      <c r="V66" s="45">
        <f>V61*INDEX('الافتراضات'!$C$49:$G$49,V$9)</f>
        <v/>
      </c>
      <c r="W66" s="45">
        <f>W61*INDEX('الافتراضات'!$C$49:$G$49,W$9)</f>
        <v/>
      </c>
      <c r="X66" s="45">
        <f>X61*INDEX('الافتراضات'!$C$49:$G$49,X$9)</f>
        <v/>
      </c>
      <c r="Y66" s="45">
        <f>Y61*INDEX('الافتراضات'!$C$49:$G$49,Y$9)</f>
        <v/>
      </c>
      <c r="Z66" s="45">
        <f>Z61*INDEX('الافتراضات'!$C$49:$G$49,Z$9)</f>
        <v/>
      </c>
      <c r="AA66" s="45">
        <f>AA61*INDEX('الافتراضات'!$C$49:$G$49,AA$9)</f>
        <v/>
      </c>
      <c r="AB66" s="45">
        <f>AB61*INDEX('الافتراضات'!$C$49:$G$49,AB$9)</f>
        <v/>
      </c>
      <c r="AC66" s="45">
        <f>AC61*INDEX('الافتراضات'!$C$49:$G$49,AC$9)</f>
        <v/>
      </c>
      <c r="AD66" s="45">
        <f>AD61*INDEX('الافتراضات'!$C$49:$G$49,AD$9)</f>
        <v/>
      </c>
      <c r="AE66" s="45">
        <f>AE61*INDEX('الافتراضات'!$C$49:$G$49,AE$9)</f>
        <v/>
      </c>
      <c r="AF66" s="45">
        <f>AF61*INDEX('الافتراضات'!$C$49:$G$49,AF$9)</f>
        <v/>
      </c>
      <c r="AG66" s="45">
        <f>AG61*INDEX('الافتراضات'!$C$49:$G$49,AG$9)</f>
        <v/>
      </c>
      <c r="AH66" s="45">
        <f>AH61*INDEX('الافتراضات'!$C$49:$G$49,AH$9)</f>
        <v/>
      </c>
      <c r="AI66" s="45">
        <f>AI61*INDEX('الافتراضات'!$C$49:$G$49,AI$9)</f>
        <v/>
      </c>
      <c r="AJ66" s="45">
        <f>AJ61*INDEX('الافتراضات'!$C$49:$G$49,AJ$9)</f>
        <v/>
      </c>
      <c r="AK66" s="45">
        <f>AK61*INDEX('الافتراضات'!$C$49:$G$49,AK$9)</f>
        <v/>
      </c>
      <c r="AL66" s="45">
        <f>AL61*INDEX('الافتراضات'!$C$49:$G$49,AL$9)</f>
        <v/>
      </c>
      <c r="AM66" s="45">
        <f>AM61*INDEX('الافتراضات'!$C$49:$G$49,AM$9)</f>
        <v/>
      </c>
      <c r="AN66" s="45">
        <f>AN61*INDEX('الافتراضات'!$C$49:$G$49,AN$9)</f>
        <v/>
      </c>
      <c r="AO66" s="45">
        <f>AO61*INDEX('الافتراضات'!$C$49:$G$49,AO$9)</f>
        <v/>
      </c>
      <c r="AP66" s="45">
        <f>AP61*INDEX('الافتراضات'!$C$49:$G$49,AP$9)</f>
        <v/>
      </c>
      <c r="AQ66" s="45">
        <f>AQ61*INDEX('الافتراضات'!$C$49:$G$49,AQ$9)</f>
        <v/>
      </c>
      <c r="AR66" s="45">
        <f>AR61*INDEX('الافتراضات'!$C$49:$G$49,AR$9)</f>
        <v/>
      </c>
      <c r="AS66" s="45">
        <f>AS61*INDEX('الافتراضات'!$C$49:$G$49,AS$9)</f>
        <v/>
      </c>
      <c r="AT66" s="45">
        <f>AT61*INDEX('الافتراضات'!$C$49:$G$49,AT$9)</f>
        <v/>
      </c>
      <c r="AU66" s="45">
        <f>AU61*INDEX('الافتراضات'!$C$49:$G$49,AU$9)</f>
        <v/>
      </c>
      <c r="AV66" s="45">
        <f>AV61*INDEX('الافتراضات'!$C$49:$G$49,AV$9)</f>
        <v/>
      </c>
      <c r="AW66" s="45">
        <f>AW61*INDEX('الافتراضات'!$C$49:$G$49,AW$9)</f>
        <v/>
      </c>
      <c r="AX66" s="45">
        <f>AX61*INDEX('الافتراضات'!$C$49:$G$49,AX$9)</f>
        <v/>
      </c>
      <c r="AY66" s="45">
        <f>AY61*INDEX('الافتراضات'!$C$49:$G$49,AY$9)</f>
        <v/>
      </c>
      <c r="AZ66" s="45">
        <f>AZ61*INDEX('الافتراضات'!$C$49:$G$49,AZ$9)</f>
        <v/>
      </c>
      <c r="BA66" s="45">
        <f>BA61*INDEX('الافتراضات'!$C$49:$G$49,BA$9)</f>
        <v/>
      </c>
      <c r="BB66" s="45">
        <f>BB61*INDEX('الافتراضات'!$C$49:$G$49,BB$9)</f>
        <v/>
      </c>
      <c r="BC66" s="45">
        <f>BC61*INDEX('الافتراضات'!$C$49:$G$49,BC$9)</f>
        <v/>
      </c>
      <c r="BD66" s="45">
        <f>BD61*INDEX('الافتراضات'!$C$49:$G$49,BD$9)</f>
        <v/>
      </c>
      <c r="BE66" s="45">
        <f>BE61*INDEX('الافتراضات'!$C$49:$G$49,BE$9)</f>
        <v/>
      </c>
      <c r="BF66" s="45">
        <f>BF61*INDEX('الافتراضات'!$C$49:$G$49,BF$9)</f>
        <v/>
      </c>
      <c r="BG66" s="45">
        <f>BG61*INDEX('الافتراضات'!$C$49:$G$49,BG$9)</f>
        <v/>
      </c>
      <c r="BH66" s="45">
        <f>BH61*INDEX('الافتراضات'!$C$49:$G$49,BH$9)</f>
        <v/>
      </c>
      <c r="BI66" s="45">
        <f>BI61*INDEX('الافتراضات'!$C$49:$G$49,BI$9)</f>
        <v/>
      </c>
      <c r="BJ66" s="45">
        <f>BJ61*INDEX('الافتراضات'!$C$49:$G$49,BJ$9)</f>
        <v/>
      </c>
      <c r="BK66" s="45">
        <f>BK61*INDEX('الافتراضات'!$C$49:$G$49,BK$9)</f>
        <v/>
      </c>
      <c r="BL66" s="45">
        <f>BL61*INDEX('الافتراضات'!$C$49:$G$49,BL$9)</f>
        <v/>
      </c>
      <c r="BM66" s="45">
        <f>BM61*INDEX('الافتراضات'!$C$49:$G$49,BM$9)</f>
        <v/>
      </c>
    </row>
    <row r="67">
      <c r="A67" s="4" t="inlineStr">
        <is>
          <t xml:space="preserve">   حصة الطلبات من مشتركي توّا+</t>
        </is>
      </c>
      <c r="B67" s="22" t="inlineStr">
        <is>
          <t>%</t>
        </is>
      </c>
      <c r="C67" s="29">
        <f>MIN(1,INDEX('الافتراضات'!$C$54:$G$54,C$9)*'الافتراضات'!$C$55)</f>
        <v/>
      </c>
      <c r="D67" s="29">
        <f>MIN(1,INDEX('الافتراضات'!$C$54:$G$54,D$9)*'الافتراضات'!$C$55)</f>
        <v/>
      </c>
      <c r="E67" s="29">
        <f>MIN(1,INDEX('الافتراضات'!$C$54:$G$54,E$9)*'الافتراضات'!$C$55)</f>
        <v/>
      </c>
      <c r="F67" s="29">
        <f>MIN(1,INDEX('الافتراضات'!$C$54:$G$54,F$9)*'الافتراضات'!$C$55)</f>
        <v/>
      </c>
      <c r="G67" s="29">
        <f>MIN(1,INDEX('الافتراضات'!$C$54:$G$54,G$9)*'الافتراضات'!$C$55)</f>
        <v/>
      </c>
      <c r="H67" s="29">
        <f>MIN(1,INDEX('الافتراضات'!$C$54:$G$54,H$9)*'الافتراضات'!$C$55)</f>
        <v/>
      </c>
      <c r="I67" s="29">
        <f>MIN(1,INDEX('الافتراضات'!$C$54:$G$54,I$9)*'الافتراضات'!$C$55)</f>
        <v/>
      </c>
      <c r="J67" s="29">
        <f>MIN(1,INDEX('الافتراضات'!$C$54:$G$54,J$9)*'الافتراضات'!$C$55)</f>
        <v/>
      </c>
      <c r="K67" s="29">
        <f>MIN(1,INDEX('الافتراضات'!$C$54:$G$54,K$9)*'الافتراضات'!$C$55)</f>
        <v/>
      </c>
      <c r="L67" s="29">
        <f>MIN(1,INDEX('الافتراضات'!$C$54:$G$54,L$9)*'الافتراضات'!$C$55)</f>
        <v/>
      </c>
      <c r="M67" s="29">
        <f>MIN(1,INDEX('الافتراضات'!$C$54:$G$54,M$9)*'الافتراضات'!$C$55)</f>
        <v/>
      </c>
      <c r="N67" s="29">
        <f>MIN(1,INDEX('الافتراضات'!$C$54:$G$54,N$9)*'الافتراضات'!$C$55)</f>
        <v/>
      </c>
      <c r="O67" s="29">
        <f>MIN(1,INDEX('الافتراضات'!$C$54:$G$54,O$9)*'الافتراضات'!$C$55)</f>
        <v/>
      </c>
      <c r="P67" s="29">
        <f>MIN(1,INDEX('الافتراضات'!$C$54:$G$54,P$9)*'الافتراضات'!$C$55)</f>
        <v/>
      </c>
      <c r="Q67" s="29">
        <f>MIN(1,INDEX('الافتراضات'!$C$54:$G$54,Q$9)*'الافتراضات'!$C$55)</f>
        <v/>
      </c>
      <c r="R67" s="29">
        <f>MIN(1,INDEX('الافتراضات'!$C$54:$G$54,R$9)*'الافتراضات'!$C$55)</f>
        <v/>
      </c>
      <c r="S67" s="29">
        <f>MIN(1,INDEX('الافتراضات'!$C$54:$G$54,S$9)*'الافتراضات'!$C$55)</f>
        <v/>
      </c>
      <c r="T67" s="29">
        <f>MIN(1,INDEX('الافتراضات'!$C$54:$G$54,T$9)*'الافتراضات'!$C$55)</f>
        <v/>
      </c>
      <c r="U67" s="29">
        <f>MIN(1,INDEX('الافتراضات'!$C$54:$G$54,U$9)*'الافتراضات'!$C$55)</f>
        <v/>
      </c>
      <c r="V67" s="29">
        <f>MIN(1,INDEX('الافتراضات'!$C$54:$G$54,V$9)*'الافتراضات'!$C$55)</f>
        <v/>
      </c>
      <c r="W67" s="29">
        <f>MIN(1,INDEX('الافتراضات'!$C$54:$G$54,W$9)*'الافتراضات'!$C$55)</f>
        <v/>
      </c>
      <c r="X67" s="29">
        <f>MIN(1,INDEX('الافتراضات'!$C$54:$G$54,X$9)*'الافتراضات'!$C$55)</f>
        <v/>
      </c>
      <c r="Y67" s="29">
        <f>MIN(1,INDEX('الافتراضات'!$C$54:$G$54,Y$9)*'الافتراضات'!$C$55)</f>
        <v/>
      </c>
      <c r="Z67" s="29">
        <f>MIN(1,INDEX('الافتراضات'!$C$54:$G$54,Z$9)*'الافتراضات'!$C$55)</f>
        <v/>
      </c>
      <c r="AA67" s="29">
        <f>MIN(1,INDEX('الافتراضات'!$C$54:$G$54,AA$9)*'الافتراضات'!$C$55)</f>
        <v/>
      </c>
      <c r="AB67" s="29">
        <f>MIN(1,INDEX('الافتراضات'!$C$54:$G$54,AB$9)*'الافتراضات'!$C$55)</f>
        <v/>
      </c>
      <c r="AC67" s="29">
        <f>MIN(1,INDEX('الافتراضات'!$C$54:$G$54,AC$9)*'الافتراضات'!$C$55)</f>
        <v/>
      </c>
      <c r="AD67" s="29">
        <f>MIN(1,INDEX('الافتراضات'!$C$54:$G$54,AD$9)*'الافتراضات'!$C$55)</f>
        <v/>
      </c>
      <c r="AE67" s="29">
        <f>MIN(1,INDEX('الافتراضات'!$C$54:$G$54,AE$9)*'الافتراضات'!$C$55)</f>
        <v/>
      </c>
      <c r="AF67" s="29">
        <f>MIN(1,INDEX('الافتراضات'!$C$54:$G$54,AF$9)*'الافتراضات'!$C$55)</f>
        <v/>
      </c>
      <c r="AG67" s="29">
        <f>MIN(1,INDEX('الافتراضات'!$C$54:$G$54,AG$9)*'الافتراضات'!$C$55)</f>
        <v/>
      </c>
      <c r="AH67" s="29">
        <f>MIN(1,INDEX('الافتراضات'!$C$54:$G$54,AH$9)*'الافتراضات'!$C$55)</f>
        <v/>
      </c>
      <c r="AI67" s="29">
        <f>MIN(1,INDEX('الافتراضات'!$C$54:$G$54,AI$9)*'الافتراضات'!$C$55)</f>
        <v/>
      </c>
      <c r="AJ67" s="29">
        <f>MIN(1,INDEX('الافتراضات'!$C$54:$G$54,AJ$9)*'الافتراضات'!$C$55)</f>
        <v/>
      </c>
      <c r="AK67" s="29">
        <f>MIN(1,INDEX('الافتراضات'!$C$54:$G$54,AK$9)*'الافتراضات'!$C$55)</f>
        <v/>
      </c>
      <c r="AL67" s="29">
        <f>MIN(1,INDEX('الافتراضات'!$C$54:$G$54,AL$9)*'الافتراضات'!$C$55)</f>
        <v/>
      </c>
      <c r="AM67" s="29">
        <f>MIN(1,INDEX('الافتراضات'!$C$54:$G$54,AM$9)*'الافتراضات'!$C$55)</f>
        <v/>
      </c>
      <c r="AN67" s="29">
        <f>MIN(1,INDEX('الافتراضات'!$C$54:$G$54,AN$9)*'الافتراضات'!$C$55)</f>
        <v/>
      </c>
      <c r="AO67" s="29">
        <f>MIN(1,INDEX('الافتراضات'!$C$54:$G$54,AO$9)*'الافتراضات'!$C$55)</f>
        <v/>
      </c>
      <c r="AP67" s="29">
        <f>MIN(1,INDEX('الافتراضات'!$C$54:$G$54,AP$9)*'الافتراضات'!$C$55)</f>
        <v/>
      </c>
      <c r="AQ67" s="29">
        <f>MIN(1,INDEX('الافتراضات'!$C$54:$G$54,AQ$9)*'الافتراضات'!$C$55)</f>
        <v/>
      </c>
      <c r="AR67" s="29">
        <f>MIN(1,INDEX('الافتراضات'!$C$54:$G$54,AR$9)*'الافتراضات'!$C$55)</f>
        <v/>
      </c>
      <c r="AS67" s="29">
        <f>MIN(1,INDEX('الافتراضات'!$C$54:$G$54,AS$9)*'الافتراضات'!$C$55)</f>
        <v/>
      </c>
      <c r="AT67" s="29">
        <f>MIN(1,INDEX('الافتراضات'!$C$54:$G$54,AT$9)*'الافتراضات'!$C$55)</f>
        <v/>
      </c>
      <c r="AU67" s="29">
        <f>MIN(1,INDEX('الافتراضات'!$C$54:$G$54,AU$9)*'الافتراضات'!$C$55)</f>
        <v/>
      </c>
      <c r="AV67" s="29">
        <f>MIN(1,INDEX('الافتراضات'!$C$54:$G$54,AV$9)*'الافتراضات'!$C$55)</f>
        <v/>
      </c>
      <c r="AW67" s="29">
        <f>MIN(1,INDEX('الافتراضات'!$C$54:$G$54,AW$9)*'الافتراضات'!$C$55)</f>
        <v/>
      </c>
      <c r="AX67" s="29">
        <f>MIN(1,INDEX('الافتراضات'!$C$54:$G$54,AX$9)*'الافتراضات'!$C$55)</f>
        <v/>
      </c>
      <c r="AY67" s="29">
        <f>MIN(1,INDEX('الافتراضات'!$C$54:$G$54,AY$9)*'الافتراضات'!$C$55)</f>
        <v/>
      </c>
      <c r="AZ67" s="29">
        <f>MIN(1,INDEX('الافتراضات'!$C$54:$G$54,AZ$9)*'الافتراضات'!$C$55)</f>
        <v/>
      </c>
      <c r="BA67" s="29">
        <f>MIN(1,INDEX('الافتراضات'!$C$54:$G$54,BA$9)*'الافتراضات'!$C$55)</f>
        <v/>
      </c>
      <c r="BB67" s="29">
        <f>MIN(1,INDEX('الافتراضات'!$C$54:$G$54,BB$9)*'الافتراضات'!$C$55)</f>
        <v/>
      </c>
      <c r="BC67" s="29">
        <f>MIN(1,INDEX('الافتراضات'!$C$54:$G$54,BC$9)*'الافتراضات'!$C$55)</f>
        <v/>
      </c>
      <c r="BD67" s="29">
        <f>MIN(1,INDEX('الافتراضات'!$C$54:$G$54,BD$9)*'الافتراضات'!$C$55)</f>
        <v/>
      </c>
      <c r="BE67" s="29">
        <f>MIN(1,INDEX('الافتراضات'!$C$54:$G$54,BE$9)*'الافتراضات'!$C$55)</f>
        <v/>
      </c>
      <c r="BF67" s="29">
        <f>MIN(1,INDEX('الافتراضات'!$C$54:$G$54,BF$9)*'الافتراضات'!$C$55)</f>
        <v/>
      </c>
      <c r="BG67" s="29">
        <f>MIN(1,INDEX('الافتراضات'!$C$54:$G$54,BG$9)*'الافتراضات'!$C$55)</f>
        <v/>
      </c>
      <c r="BH67" s="29">
        <f>MIN(1,INDEX('الافتراضات'!$C$54:$G$54,BH$9)*'الافتراضات'!$C$55)</f>
        <v/>
      </c>
      <c r="BI67" s="29">
        <f>MIN(1,INDEX('الافتراضات'!$C$54:$G$54,BI$9)*'الافتراضات'!$C$55)</f>
        <v/>
      </c>
      <c r="BJ67" s="29">
        <f>MIN(1,INDEX('الافتراضات'!$C$54:$G$54,BJ$9)*'الافتراضات'!$C$55)</f>
        <v/>
      </c>
      <c r="BK67" s="29">
        <f>MIN(1,INDEX('الافتراضات'!$C$54:$G$54,BK$9)*'الافتراضات'!$C$55)</f>
        <v/>
      </c>
      <c r="BL67" s="29">
        <f>MIN(1,INDEX('الافتراضات'!$C$54:$G$54,BL$9)*'الافتراضات'!$C$55)</f>
        <v/>
      </c>
      <c r="BM67" s="29">
        <f>MIN(1,INDEX('الافتراضات'!$C$54:$G$54,BM$9)*'الافتراضات'!$C$55)</f>
        <v/>
      </c>
    </row>
    <row r="68">
      <c r="A68" s="4" t="inlineStr">
        <is>
          <t>4. رسوم التوصيل</t>
        </is>
      </c>
      <c r="B68" s="22" t="inlineStr">
        <is>
          <t>ج.م</t>
        </is>
      </c>
      <c r="C68" s="45">
        <f>C54*INDEX('الافتراضات'!$C$51:$G$51,C$9)*(1-C67)*INDEX('الافتراضات'!$C$50:$G$50,C$9)</f>
        <v/>
      </c>
      <c r="D68" s="45">
        <f>D54*INDEX('الافتراضات'!$C$51:$G$51,D$9)*(1-D67)*INDEX('الافتراضات'!$C$50:$G$50,D$9)</f>
        <v/>
      </c>
      <c r="E68" s="45">
        <f>E54*INDEX('الافتراضات'!$C$51:$G$51,E$9)*(1-E67)*INDEX('الافتراضات'!$C$50:$G$50,E$9)</f>
        <v/>
      </c>
      <c r="F68" s="45">
        <f>F54*INDEX('الافتراضات'!$C$51:$G$51,F$9)*(1-F67)*INDEX('الافتراضات'!$C$50:$G$50,F$9)</f>
        <v/>
      </c>
      <c r="G68" s="45">
        <f>G54*INDEX('الافتراضات'!$C$51:$G$51,G$9)*(1-G67)*INDEX('الافتراضات'!$C$50:$G$50,G$9)</f>
        <v/>
      </c>
      <c r="H68" s="45">
        <f>H54*INDEX('الافتراضات'!$C$51:$G$51,H$9)*(1-H67)*INDEX('الافتراضات'!$C$50:$G$50,H$9)</f>
        <v/>
      </c>
      <c r="I68" s="45">
        <f>I54*INDEX('الافتراضات'!$C$51:$G$51,I$9)*(1-I67)*INDEX('الافتراضات'!$C$50:$G$50,I$9)</f>
        <v/>
      </c>
      <c r="J68" s="45">
        <f>J54*INDEX('الافتراضات'!$C$51:$G$51,J$9)*(1-J67)*INDEX('الافتراضات'!$C$50:$G$50,J$9)</f>
        <v/>
      </c>
      <c r="K68" s="45">
        <f>K54*INDEX('الافتراضات'!$C$51:$G$51,K$9)*(1-K67)*INDEX('الافتراضات'!$C$50:$G$50,K$9)</f>
        <v/>
      </c>
      <c r="L68" s="45">
        <f>L54*INDEX('الافتراضات'!$C$51:$G$51,L$9)*(1-L67)*INDEX('الافتراضات'!$C$50:$G$50,L$9)</f>
        <v/>
      </c>
      <c r="M68" s="45">
        <f>M54*INDEX('الافتراضات'!$C$51:$G$51,M$9)*(1-M67)*INDEX('الافتراضات'!$C$50:$G$50,M$9)</f>
        <v/>
      </c>
      <c r="N68" s="45">
        <f>N54*INDEX('الافتراضات'!$C$51:$G$51,N$9)*(1-N67)*INDEX('الافتراضات'!$C$50:$G$50,N$9)</f>
        <v/>
      </c>
      <c r="O68" s="45">
        <f>O54*INDEX('الافتراضات'!$C$51:$G$51,O$9)*(1-O67)*INDEX('الافتراضات'!$C$50:$G$50,O$9)</f>
        <v/>
      </c>
      <c r="P68" s="45">
        <f>P54*INDEX('الافتراضات'!$C$51:$G$51,P$9)*(1-P67)*INDEX('الافتراضات'!$C$50:$G$50,P$9)</f>
        <v/>
      </c>
      <c r="Q68" s="45">
        <f>Q54*INDEX('الافتراضات'!$C$51:$G$51,Q$9)*(1-Q67)*INDEX('الافتراضات'!$C$50:$G$50,Q$9)</f>
        <v/>
      </c>
      <c r="R68" s="45">
        <f>R54*INDEX('الافتراضات'!$C$51:$G$51,R$9)*(1-R67)*INDEX('الافتراضات'!$C$50:$G$50,R$9)</f>
        <v/>
      </c>
      <c r="S68" s="45">
        <f>S54*INDEX('الافتراضات'!$C$51:$G$51,S$9)*(1-S67)*INDEX('الافتراضات'!$C$50:$G$50,S$9)</f>
        <v/>
      </c>
      <c r="T68" s="45">
        <f>T54*INDEX('الافتراضات'!$C$51:$G$51,T$9)*(1-T67)*INDEX('الافتراضات'!$C$50:$G$50,T$9)</f>
        <v/>
      </c>
      <c r="U68" s="45">
        <f>U54*INDEX('الافتراضات'!$C$51:$G$51,U$9)*(1-U67)*INDEX('الافتراضات'!$C$50:$G$50,U$9)</f>
        <v/>
      </c>
      <c r="V68" s="45">
        <f>V54*INDEX('الافتراضات'!$C$51:$G$51,V$9)*(1-V67)*INDEX('الافتراضات'!$C$50:$G$50,V$9)</f>
        <v/>
      </c>
      <c r="W68" s="45">
        <f>W54*INDEX('الافتراضات'!$C$51:$G$51,W$9)*(1-W67)*INDEX('الافتراضات'!$C$50:$G$50,W$9)</f>
        <v/>
      </c>
      <c r="X68" s="45">
        <f>X54*INDEX('الافتراضات'!$C$51:$G$51,X$9)*(1-X67)*INDEX('الافتراضات'!$C$50:$G$50,X$9)</f>
        <v/>
      </c>
      <c r="Y68" s="45">
        <f>Y54*INDEX('الافتراضات'!$C$51:$G$51,Y$9)*(1-Y67)*INDEX('الافتراضات'!$C$50:$G$50,Y$9)</f>
        <v/>
      </c>
      <c r="Z68" s="45">
        <f>Z54*INDEX('الافتراضات'!$C$51:$G$51,Z$9)*(1-Z67)*INDEX('الافتراضات'!$C$50:$G$50,Z$9)</f>
        <v/>
      </c>
      <c r="AA68" s="45">
        <f>AA54*INDEX('الافتراضات'!$C$51:$G$51,AA$9)*(1-AA67)*INDEX('الافتراضات'!$C$50:$G$50,AA$9)</f>
        <v/>
      </c>
      <c r="AB68" s="45">
        <f>AB54*INDEX('الافتراضات'!$C$51:$G$51,AB$9)*(1-AB67)*INDEX('الافتراضات'!$C$50:$G$50,AB$9)</f>
        <v/>
      </c>
      <c r="AC68" s="45">
        <f>AC54*INDEX('الافتراضات'!$C$51:$G$51,AC$9)*(1-AC67)*INDEX('الافتراضات'!$C$50:$G$50,AC$9)</f>
        <v/>
      </c>
      <c r="AD68" s="45">
        <f>AD54*INDEX('الافتراضات'!$C$51:$G$51,AD$9)*(1-AD67)*INDEX('الافتراضات'!$C$50:$G$50,AD$9)</f>
        <v/>
      </c>
      <c r="AE68" s="45">
        <f>AE54*INDEX('الافتراضات'!$C$51:$G$51,AE$9)*(1-AE67)*INDEX('الافتراضات'!$C$50:$G$50,AE$9)</f>
        <v/>
      </c>
      <c r="AF68" s="45">
        <f>AF54*INDEX('الافتراضات'!$C$51:$G$51,AF$9)*(1-AF67)*INDEX('الافتراضات'!$C$50:$G$50,AF$9)</f>
        <v/>
      </c>
      <c r="AG68" s="45">
        <f>AG54*INDEX('الافتراضات'!$C$51:$G$51,AG$9)*(1-AG67)*INDEX('الافتراضات'!$C$50:$G$50,AG$9)</f>
        <v/>
      </c>
      <c r="AH68" s="45">
        <f>AH54*INDEX('الافتراضات'!$C$51:$G$51,AH$9)*(1-AH67)*INDEX('الافتراضات'!$C$50:$G$50,AH$9)</f>
        <v/>
      </c>
      <c r="AI68" s="45">
        <f>AI54*INDEX('الافتراضات'!$C$51:$G$51,AI$9)*(1-AI67)*INDEX('الافتراضات'!$C$50:$G$50,AI$9)</f>
        <v/>
      </c>
      <c r="AJ68" s="45">
        <f>AJ54*INDEX('الافتراضات'!$C$51:$G$51,AJ$9)*(1-AJ67)*INDEX('الافتراضات'!$C$50:$G$50,AJ$9)</f>
        <v/>
      </c>
      <c r="AK68" s="45">
        <f>AK54*INDEX('الافتراضات'!$C$51:$G$51,AK$9)*(1-AK67)*INDEX('الافتراضات'!$C$50:$G$50,AK$9)</f>
        <v/>
      </c>
      <c r="AL68" s="45">
        <f>AL54*INDEX('الافتراضات'!$C$51:$G$51,AL$9)*(1-AL67)*INDEX('الافتراضات'!$C$50:$G$50,AL$9)</f>
        <v/>
      </c>
      <c r="AM68" s="45">
        <f>AM54*INDEX('الافتراضات'!$C$51:$G$51,AM$9)*(1-AM67)*INDEX('الافتراضات'!$C$50:$G$50,AM$9)</f>
        <v/>
      </c>
      <c r="AN68" s="45">
        <f>AN54*INDEX('الافتراضات'!$C$51:$G$51,AN$9)*(1-AN67)*INDEX('الافتراضات'!$C$50:$G$50,AN$9)</f>
        <v/>
      </c>
      <c r="AO68" s="45">
        <f>AO54*INDEX('الافتراضات'!$C$51:$G$51,AO$9)*(1-AO67)*INDEX('الافتراضات'!$C$50:$G$50,AO$9)</f>
        <v/>
      </c>
      <c r="AP68" s="45">
        <f>AP54*INDEX('الافتراضات'!$C$51:$G$51,AP$9)*(1-AP67)*INDEX('الافتراضات'!$C$50:$G$50,AP$9)</f>
        <v/>
      </c>
      <c r="AQ68" s="45">
        <f>AQ54*INDEX('الافتراضات'!$C$51:$G$51,AQ$9)*(1-AQ67)*INDEX('الافتراضات'!$C$50:$G$50,AQ$9)</f>
        <v/>
      </c>
      <c r="AR68" s="45">
        <f>AR54*INDEX('الافتراضات'!$C$51:$G$51,AR$9)*(1-AR67)*INDEX('الافتراضات'!$C$50:$G$50,AR$9)</f>
        <v/>
      </c>
      <c r="AS68" s="45">
        <f>AS54*INDEX('الافتراضات'!$C$51:$G$51,AS$9)*(1-AS67)*INDEX('الافتراضات'!$C$50:$G$50,AS$9)</f>
        <v/>
      </c>
      <c r="AT68" s="45">
        <f>AT54*INDEX('الافتراضات'!$C$51:$G$51,AT$9)*(1-AT67)*INDEX('الافتراضات'!$C$50:$G$50,AT$9)</f>
        <v/>
      </c>
      <c r="AU68" s="45">
        <f>AU54*INDEX('الافتراضات'!$C$51:$G$51,AU$9)*(1-AU67)*INDEX('الافتراضات'!$C$50:$G$50,AU$9)</f>
        <v/>
      </c>
      <c r="AV68" s="45">
        <f>AV54*INDEX('الافتراضات'!$C$51:$G$51,AV$9)*(1-AV67)*INDEX('الافتراضات'!$C$50:$G$50,AV$9)</f>
        <v/>
      </c>
      <c r="AW68" s="45">
        <f>AW54*INDEX('الافتراضات'!$C$51:$G$51,AW$9)*(1-AW67)*INDEX('الافتراضات'!$C$50:$G$50,AW$9)</f>
        <v/>
      </c>
      <c r="AX68" s="45">
        <f>AX54*INDEX('الافتراضات'!$C$51:$G$51,AX$9)*(1-AX67)*INDEX('الافتراضات'!$C$50:$G$50,AX$9)</f>
        <v/>
      </c>
      <c r="AY68" s="45">
        <f>AY54*INDEX('الافتراضات'!$C$51:$G$51,AY$9)*(1-AY67)*INDEX('الافتراضات'!$C$50:$G$50,AY$9)</f>
        <v/>
      </c>
      <c r="AZ68" s="45">
        <f>AZ54*INDEX('الافتراضات'!$C$51:$G$51,AZ$9)*(1-AZ67)*INDEX('الافتراضات'!$C$50:$G$50,AZ$9)</f>
        <v/>
      </c>
      <c r="BA68" s="45">
        <f>BA54*INDEX('الافتراضات'!$C$51:$G$51,BA$9)*(1-BA67)*INDEX('الافتراضات'!$C$50:$G$50,BA$9)</f>
        <v/>
      </c>
      <c r="BB68" s="45">
        <f>BB54*INDEX('الافتراضات'!$C$51:$G$51,BB$9)*(1-BB67)*INDEX('الافتراضات'!$C$50:$G$50,BB$9)</f>
        <v/>
      </c>
      <c r="BC68" s="45">
        <f>BC54*INDEX('الافتراضات'!$C$51:$G$51,BC$9)*(1-BC67)*INDEX('الافتراضات'!$C$50:$G$50,BC$9)</f>
        <v/>
      </c>
      <c r="BD68" s="45">
        <f>BD54*INDEX('الافتراضات'!$C$51:$G$51,BD$9)*(1-BD67)*INDEX('الافتراضات'!$C$50:$G$50,BD$9)</f>
        <v/>
      </c>
      <c r="BE68" s="45">
        <f>BE54*INDEX('الافتراضات'!$C$51:$G$51,BE$9)*(1-BE67)*INDEX('الافتراضات'!$C$50:$G$50,BE$9)</f>
        <v/>
      </c>
      <c r="BF68" s="45">
        <f>BF54*INDEX('الافتراضات'!$C$51:$G$51,BF$9)*(1-BF67)*INDEX('الافتراضات'!$C$50:$G$50,BF$9)</f>
        <v/>
      </c>
      <c r="BG68" s="45">
        <f>BG54*INDEX('الافتراضات'!$C$51:$G$51,BG$9)*(1-BG67)*INDEX('الافتراضات'!$C$50:$G$50,BG$9)</f>
        <v/>
      </c>
      <c r="BH68" s="45">
        <f>BH54*INDEX('الافتراضات'!$C$51:$G$51,BH$9)*(1-BH67)*INDEX('الافتراضات'!$C$50:$G$50,BH$9)</f>
        <v/>
      </c>
      <c r="BI68" s="45">
        <f>BI54*INDEX('الافتراضات'!$C$51:$G$51,BI$9)*(1-BI67)*INDEX('الافتراضات'!$C$50:$G$50,BI$9)</f>
        <v/>
      </c>
      <c r="BJ68" s="45">
        <f>BJ54*INDEX('الافتراضات'!$C$51:$G$51,BJ$9)*(1-BJ67)*INDEX('الافتراضات'!$C$50:$G$50,BJ$9)</f>
        <v/>
      </c>
      <c r="BK68" s="45">
        <f>BK54*INDEX('الافتراضات'!$C$51:$G$51,BK$9)*(1-BK67)*INDEX('الافتراضات'!$C$50:$G$50,BK$9)</f>
        <v/>
      </c>
      <c r="BL68" s="45">
        <f>BL54*INDEX('الافتراضات'!$C$51:$G$51,BL$9)*(1-BL67)*INDEX('الافتراضات'!$C$50:$G$50,BL$9)</f>
        <v/>
      </c>
      <c r="BM68" s="45">
        <f>BM54*INDEX('الافتراضات'!$C$51:$G$51,BM$9)*(1-BM67)*INDEX('الافتراضات'!$C$50:$G$50,BM$9)</f>
        <v/>
      </c>
    </row>
    <row r="69">
      <c r="A69" s="4" t="inlineStr">
        <is>
          <t>5. رسوم الخدمة</t>
        </is>
      </c>
      <c r="B69" s="22" t="inlineStr">
        <is>
          <t>ج.م</t>
        </is>
      </c>
      <c r="C69" s="45">
        <f>C54*INDEX('الافتراضات'!$C$52:$G$52,C$9)</f>
        <v/>
      </c>
      <c r="D69" s="45">
        <f>D54*INDEX('الافتراضات'!$C$52:$G$52,D$9)</f>
        <v/>
      </c>
      <c r="E69" s="45">
        <f>E54*INDEX('الافتراضات'!$C$52:$G$52,E$9)</f>
        <v/>
      </c>
      <c r="F69" s="45">
        <f>F54*INDEX('الافتراضات'!$C$52:$G$52,F$9)</f>
        <v/>
      </c>
      <c r="G69" s="45">
        <f>G54*INDEX('الافتراضات'!$C$52:$G$52,G$9)</f>
        <v/>
      </c>
      <c r="H69" s="45">
        <f>H54*INDEX('الافتراضات'!$C$52:$G$52,H$9)</f>
        <v/>
      </c>
      <c r="I69" s="45">
        <f>I54*INDEX('الافتراضات'!$C$52:$G$52,I$9)</f>
        <v/>
      </c>
      <c r="J69" s="45">
        <f>J54*INDEX('الافتراضات'!$C$52:$G$52,J$9)</f>
        <v/>
      </c>
      <c r="K69" s="45">
        <f>K54*INDEX('الافتراضات'!$C$52:$G$52,K$9)</f>
        <v/>
      </c>
      <c r="L69" s="45">
        <f>L54*INDEX('الافتراضات'!$C$52:$G$52,L$9)</f>
        <v/>
      </c>
      <c r="M69" s="45">
        <f>M54*INDEX('الافتراضات'!$C$52:$G$52,M$9)</f>
        <v/>
      </c>
      <c r="N69" s="45">
        <f>N54*INDEX('الافتراضات'!$C$52:$G$52,N$9)</f>
        <v/>
      </c>
      <c r="O69" s="45">
        <f>O54*INDEX('الافتراضات'!$C$52:$G$52,O$9)</f>
        <v/>
      </c>
      <c r="P69" s="45">
        <f>P54*INDEX('الافتراضات'!$C$52:$G$52,P$9)</f>
        <v/>
      </c>
      <c r="Q69" s="45">
        <f>Q54*INDEX('الافتراضات'!$C$52:$G$52,Q$9)</f>
        <v/>
      </c>
      <c r="R69" s="45">
        <f>R54*INDEX('الافتراضات'!$C$52:$G$52,R$9)</f>
        <v/>
      </c>
      <c r="S69" s="45">
        <f>S54*INDEX('الافتراضات'!$C$52:$G$52,S$9)</f>
        <v/>
      </c>
      <c r="T69" s="45">
        <f>T54*INDEX('الافتراضات'!$C$52:$G$52,T$9)</f>
        <v/>
      </c>
      <c r="U69" s="45">
        <f>U54*INDEX('الافتراضات'!$C$52:$G$52,U$9)</f>
        <v/>
      </c>
      <c r="V69" s="45">
        <f>V54*INDEX('الافتراضات'!$C$52:$G$52,V$9)</f>
        <v/>
      </c>
      <c r="W69" s="45">
        <f>W54*INDEX('الافتراضات'!$C$52:$G$52,W$9)</f>
        <v/>
      </c>
      <c r="X69" s="45">
        <f>X54*INDEX('الافتراضات'!$C$52:$G$52,X$9)</f>
        <v/>
      </c>
      <c r="Y69" s="45">
        <f>Y54*INDEX('الافتراضات'!$C$52:$G$52,Y$9)</f>
        <v/>
      </c>
      <c r="Z69" s="45">
        <f>Z54*INDEX('الافتراضات'!$C$52:$G$52,Z$9)</f>
        <v/>
      </c>
      <c r="AA69" s="45">
        <f>AA54*INDEX('الافتراضات'!$C$52:$G$52,AA$9)</f>
        <v/>
      </c>
      <c r="AB69" s="45">
        <f>AB54*INDEX('الافتراضات'!$C$52:$G$52,AB$9)</f>
        <v/>
      </c>
      <c r="AC69" s="45">
        <f>AC54*INDEX('الافتراضات'!$C$52:$G$52,AC$9)</f>
        <v/>
      </c>
      <c r="AD69" s="45">
        <f>AD54*INDEX('الافتراضات'!$C$52:$G$52,AD$9)</f>
        <v/>
      </c>
      <c r="AE69" s="45">
        <f>AE54*INDEX('الافتراضات'!$C$52:$G$52,AE$9)</f>
        <v/>
      </c>
      <c r="AF69" s="45">
        <f>AF54*INDEX('الافتراضات'!$C$52:$G$52,AF$9)</f>
        <v/>
      </c>
      <c r="AG69" s="45">
        <f>AG54*INDEX('الافتراضات'!$C$52:$G$52,AG$9)</f>
        <v/>
      </c>
      <c r="AH69" s="45">
        <f>AH54*INDEX('الافتراضات'!$C$52:$G$52,AH$9)</f>
        <v/>
      </c>
      <c r="AI69" s="45">
        <f>AI54*INDEX('الافتراضات'!$C$52:$G$52,AI$9)</f>
        <v/>
      </c>
      <c r="AJ69" s="45">
        <f>AJ54*INDEX('الافتراضات'!$C$52:$G$52,AJ$9)</f>
        <v/>
      </c>
      <c r="AK69" s="45">
        <f>AK54*INDEX('الافتراضات'!$C$52:$G$52,AK$9)</f>
        <v/>
      </c>
      <c r="AL69" s="45">
        <f>AL54*INDEX('الافتراضات'!$C$52:$G$52,AL$9)</f>
        <v/>
      </c>
      <c r="AM69" s="45">
        <f>AM54*INDEX('الافتراضات'!$C$52:$G$52,AM$9)</f>
        <v/>
      </c>
      <c r="AN69" s="45">
        <f>AN54*INDEX('الافتراضات'!$C$52:$G$52,AN$9)</f>
        <v/>
      </c>
      <c r="AO69" s="45">
        <f>AO54*INDEX('الافتراضات'!$C$52:$G$52,AO$9)</f>
        <v/>
      </c>
      <c r="AP69" s="45">
        <f>AP54*INDEX('الافتراضات'!$C$52:$G$52,AP$9)</f>
        <v/>
      </c>
      <c r="AQ69" s="45">
        <f>AQ54*INDEX('الافتراضات'!$C$52:$G$52,AQ$9)</f>
        <v/>
      </c>
      <c r="AR69" s="45">
        <f>AR54*INDEX('الافتراضات'!$C$52:$G$52,AR$9)</f>
        <v/>
      </c>
      <c r="AS69" s="45">
        <f>AS54*INDEX('الافتراضات'!$C$52:$G$52,AS$9)</f>
        <v/>
      </c>
      <c r="AT69" s="45">
        <f>AT54*INDEX('الافتراضات'!$C$52:$G$52,AT$9)</f>
        <v/>
      </c>
      <c r="AU69" s="45">
        <f>AU54*INDEX('الافتراضات'!$C$52:$G$52,AU$9)</f>
        <v/>
      </c>
      <c r="AV69" s="45">
        <f>AV54*INDEX('الافتراضات'!$C$52:$G$52,AV$9)</f>
        <v/>
      </c>
      <c r="AW69" s="45">
        <f>AW54*INDEX('الافتراضات'!$C$52:$G$52,AW$9)</f>
        <v/>
      </c>
      <c r="AX69" s="45">
        <f>AX54*INDEX('الافتراضات'!$C$52:$G$52,AX$9)</f>
        <v/>
      </c>
      <c r="AY69" s="45">
        <f>AY54*INDEX('الافتراضات'!$C$52:$G$52,AY$9)</f>
        <v/>
      </c>
      <c r="AZ69" s="45">
        <f>AZ54*INDEX('الافتراضات'!$C$52:$G$52,AZ$9)</f>
        <v/>
      </c>
      <c r="BA69" s="45">
        <f>BA54*INDEX('الافتراضات'!$C$52:$G$52,BA$9)</f>
        <v/>
      </c>
      <c r="BB69" s="45">
        <f>BB54*INDEX('الافتراضات'!$C$52:$G$52,BB$9)</f>
        <v/>
      </c>
      <c r="BC69" s="45">
        <f>BC54*INDEX('الافتراضات'!$C$52:$G$52,BC$9)</f>
        <v/>
      </c>
      <c r="BD69" s="45">
        <f>BD54*INDEX('الافتراضات'!$C$52:$G$52,BD$9)</f>
        <v/>
      </c>
      <c r="BE69" s="45">
        <f>BE54*INDEX('الافتراضات'!$C$52:$G$52,BE$9)</f>
        <v/>
      </c>
      <c r="BF69" s="45">
        <f>BF54*INDEX('الافتراضات'!$C$52:$G$52,BF$9)</f>
        <v/>
      </c>
      <c r="BG69" s="45">
        <f>BG54*INDEX('الافتراضات'!$C$52:$G$52,BG$9)</f>
        <v/>
      </c>
      <c r="BH69" s="45">
        <f>BH54*INDEX('الافتراضات'!$C$52:$G$52,BH$9)</f>
        <v/>
      </c>
      <c r="BI69" s="45">
        <f>BI54*INDEX('الافتراضات'!$C$52:$G$52,BI$9)</f>
        <v/>
      </c>
      <c r="BJ69" s="45">
        <f>BJ54*INDEX('الافتراضات'!$C$52:$G$52,BJ$9)</f>
        <v/>
      </c>
      <c r="BK69" s="45">
        <f>BK54*INDEX('الافتراضات'!$C$52:$G$52,BK$9)</f>
        <v/>
      </c>
      <c r="BL69" s="45">
        <f>BL54*INDEX('الافتراضات'!$C$52:$G$52,BL$9)</f>
        <v/>
      </c>
      <c r="BM69" s="45">
        <f>BM54*INDEX('الافتراضات'!$C$52:$G$52,BM$9)</f>
        <v/>
      </c>
    </row>
    <row r="70">
      <c r="A70" s="4" t="inlineStr">
        <is>
          <t>6. اشتراكات توّا+</t>
        </is>
      </c>
      <c r="B70" s="22" t="inlineStr">
        <is>
          <t>ج.م</t>
        </is>
      </c>
      <c r="C70" s="45">
        <f>C52*INDEX('الافتراضات'!$C$54:$G$54,C$9)*INDEX('الافتراضات'!$C$53:$G$53,C$9)</f>
        <v/>
      </c>
      <c r="D70" s="45">
        <f>D52*INDEX('الافتراضات'!$C$54:$G$54,D$9)*INDEX('الافتراضات'!$C$53:$G$53,D$9)</f>
        <v/>
      </c>
      <c r="E70" s="45">
        <f>E52*INDEX('الافتراضات'!$C$54:$G$54,E$9)*INDEX('الافتراضات'!$C$53:$G$53,E$9)</f>
        <v/>
      </c>
      <c r="F70" s="45">
        <f>F52*INDEX('الافتراضات'!$C$54:$G$54,F$9)*INDEX('الافتراضات'!$C$53:$G$53,F$9)</f>
        <v/>
      </c>
      <c r="G70" s="45">
        <f>G52*INDEX('الافتراضات'!$C$54:$G$54,G$9)*INDEX('الافتراضات'!$C$53:$G$53,G$9)</f>
        <v/>
      </c>
      <c r="H70" s="45">
        <f>H52*INDEX('الافتراضات'!$C$54:$G$54,H$9)*INDEX('الافتراضات'!$C$53:$G$53,H$9)</f>
        <v/>
      </c>
      <c r="I70" s="45">
        <f>I52*INDEX('الافتراضات'!$C$54:$G$54,I$9)*INDEX('الافتراضات'!$C$53:$G$53,I$9)</f>
        <v/>
      </c>
      <c r="J70" s="45">
        <f>J52*INDEX('الافتراضات'!$C$54:$G$54,J$9)*INDEX('الافتراضات'!$C$53:$G$53,J$9)</f>
        <v/>
      </c>
      <c r="K70" s="45">
        <f>K52*INDEX('الافتراضات'!$C$54:$G$54,K$9)*INDEX('الافتراضات'!$C$53:$G$53,K$9)</f>
        <v/>
      </c>
      <c r="L70" s="45">
        <f>L52*INDEX('الافتراضات'!$C$54:$G$54,L$9)*INDEX('الافتراضات'!$C$53:$G$53,L$9)</f>
        <v/>
      </c>
      <c r="M70" s="45">
        <f>M52*INDEX('الافتراضات'!$C$54:$G$54,M$9)*INDEX('الافتراضات'!$C$53:$G$53,M$9)</f>
        <v/>
      </c>
      <c r="N70" s="45">
        <f>N52*INDEX('الافتراضات'!$C$54:$G$54,N$9)*INDEX('الافتراضات'!$C$53:$G$53,N$9)</f>
        <v/>
      </c>
      <c r="O70" s="45">
        <f>O52*INDEX('الافتراضات'!$C$54:$G$54,O$9)*INDEX('الافتراضات'!$C$53:$G$53,O$9)</f>
        <v/>
      </c>
      <c r="P70" s="45">
        <f>P52*INDEX('الافتراضات'!$C$54:$G$54,P$9)*INDEX('الافتراضات'!$C$53:$G$53,P$9)</f>
        <v/>
      </c>
      <c r="Q70" s="45">
        <f>Q52*INDEX('الافتراضات'!$C$54:$G$54,Q$9)*INDEX('الافتراضات'!$C$53:$G$53,Q$9)</f>
        <v/>
      </c>
      <c r="R70" s="45">
        <f>R52*INDEX('الافتراضات'!$C$54:$G$54,R$9)*INDEX('الافتراضات'!$C$53:$G$53,R$9)</f>
        <v/>
      </c>
      <c r="S70" s="45">
        <f>S52*INDEX('الافتراضات'!$C$54:$G$54,S$9)*INDEX('الافتراضات'!$C$53:$G$53,S$9)</f>
        <v/>
      </c>
      <c r="T70" s="45">
        <f>T52*INDEX('الافتراضات'!$C$54:$G$54,T$9)*INDEX('الافتراضات'!$C$53:$G$53,T$9)</f>
        <v/>
      </c>
      <c r="U70" s="45">
        <f>U52*INDEX('الافتراضات'!$C$54:$G$54,U$9)*INDEX('الافتراضات'!$C$53:$G$53,U$9)</f>
        <v/>
      </c>
      <c r="V70" s="45">
        <f>V52*INDEX('الافتراضات'!$C$54:$G$54,V$9)*INDEX('الافتراضات'!$C$53:$G$53,V$9)</f>
        <v/>
      </c>
      <c r="W70" s="45">
        <f>W52*INDEX('الافتراضات'!$C$54:$G$54,W$9)*INDEX('الافتراضات'!$C$53:$G$53,W$9)</f>
        <v/>
      </c>
      <c r="X70" s="45">
        <f>X52*INDEX('الافتراضات'!$C$54:$G$54,X$9)*INDEX('الافتراضات'!$C$53:$G$53,X$9)</f>
        <v/>
      </c>
      <c r="Y70" s="45">
        <f>Y52*INDEX('الافتراضات'!$C$54:$G$54,Y$9)*INDEX('الافتراضات'!$C$53:$G$53,Y$9)</f>
        <v/>
      </c>
      <c r="Z70" s="45">
        <f>Z52*INDEX('الافتراضات'!$C$54:$G$54,Z$9)*INDEX('الافتراضات'!$C$53:$G$53,Z$9)</f>
        <v/>
      </c>
      <c r="AA70" s="45">
        <f>AA52*INDEX('الافتراضات'!$C$54:$G$54,AA$9)*INDEX('الافتراضات'!$C$53:$G$53,AA$9)</f>
        <v/>
      </c>
      <c r="AB70" s="45">
        <f>AB52*INDEX('الافتراضات'!$C$54:$G$54,AB$9)*INDEX('الافتراضات'!$C$53:$G$53,AB$9)</f>
        <v/>
      </c>
      <c r="AC70" s="45">
        <f>AC52*INDEX('الافتراضات'!$C$54:$G$54,AC$9)*INDEX('الافتراضات'!$C$53:$G$53,AC$9)</f>
        <v/>
      </c>
      <c r="AD70" s="45">
        <f>AD52*INDEX('الافتراضات'!$C$54:$G$54,AD$9)*INDEX('الافتراضات'!$C$53:$G$53,AD$9)</f>
        <v/>
      </c>
      <c r="AE70" s="45">
        <f>AE52*INDEX('الافتراضات'!$C$54:$G$54,AE$9)*INDEX('الافتراضات'!$C$53:$G$53,AE$9)</f>
        <v/>
      </c>
      <c r="AF70" s="45">
        <f>AF52*INDEX('الافتراضات'!$C$54:$G$54,AF$9)*INDEX('الافتراضات'!$C$53:$G$53,AF$9)</f>
        <v/>
      </c>
      <c r="AG70" s="45">
        <f>AG52*INDEX('الافتراضات'!$C$54:$G$54,AG$9)*INDEX('الافتراضات'!$C$53:$G$53,AG$9)</f>
        <v/>
      </c>
      <c r="AH70" s="45">
        <f>AH52*INDEX('الافتراضات'!$C$54:$G$54,AH$9)*INDEX('الافتراضات'!$C$53:$G$53,AH$9)</f>
        <v/>
      </c>
      <c r="AI70" s="45">
        <f>AI52*INDEX('الافتراضات'!$C$54:$G$54,AI$9)*INDEX('الافتراضات'!$C$53:$G$53,AI$9)</f>
        <v/>
      </c>
      <c r="AJ70" s="45">
        <f>AJ52*INDEX('الافتراضات'!$C$54:$G$54,AJ$9)*INDEX('الافتراضات'!$C$53:$G$53,AJ$9)</f>
        <v/>
      </c>
      <c r="AK70" s="45">
        <f>AK52*INDEX('الافتراضات'!$C$54:$G$54,AK$9)*INDEX('الافتراضات'!$C$53:$G$53,AK$9)</f>
        <v/>
      </c>
      <c r="AL70" s="45">
        <f>AL52*INDEX('الافتراضات'!$C$54:$G$54,AL$9)*INDEX('الافتراضات'!$C$53:$G$53,AL$9)</f>
        <v/>
      </c>
      <c r="AM70" s="45">
        <f>AM52*INDEX('الافتراضات'!$C$54:$G$54,AM$9)*INDEX('الافتراضات'!$C$53:$G$53,AM$9)</f>
        <v/>
      </c>
      <c r="AN70" s="45">
        <f>AN52*INDEX('الافتراضات'!$C$54:$G$54,AN$9)*INDEX('الافتراضات'!$C$53:$G$53,AN$9)</f>
        <v/>
      </c>
      <c r="AO70" s="45">
        <f>AO52*INDEX('الافتراضات'!$C$54:$G$54,AO$9)*INDEX('الافتراضات'!$C$53:$G$53,AO$9)</f>
        <v/>
      </c>
      <c r="AP70" s="45">
        <f>AP52*INDEX('الافتراضات'!$C$54:$G$54,AP$9)*INDEX('الافتراضات'!$C$53:$G$53,AP$9)</f>
        <v/>
      </c>
      <c r="AQ70" s="45">
        <f>AQ52*INDEX('الافتراضات'!$C$54:$G$54,AQ$9)*INDEX('الافتراضات'!$C$53:$G$53,AQ$9)</f>
        <v/>
      </c>
      <c r="AR70" s="45">
        <f>AR52*INDEX('الافتراضات'!$C$54:$G$54,AR$9)*INDEX('الافتراضات'!$C$53:$G$53,AR$9)</f>
        <v/>
      </c>
      <c r="AS70" s="45">
        <f>AS52*INDEX('الافتراضات'!$C$54:$G$54,AS$9)*INDEX('الافتراضات'!$C$53:$G$53,AS$9)</f>
        <v/>
      </c>
      <c r="AT70" s="45">
        <f>AT52*INDEX('الافتراضات'!$C$54:$G$54,AT$9)*INDEX('الافتراضات'!$C$53:$G$53,AT$9)</f>
        <v/>
      </c>
      <c r="AU70" s="45">
        <f>AU52*INDEX('الافتراضات'!$C$54:$G$54,AU$9)*INDEX('الافتراضات'!$C$53:$G$53,AU$9)</f>
        <v/>
      </c>
      <c r="AV70" s="45">
        <f>AV52*INDEX('الافتراضات'!$C$54:$G$54,AV$9)*INDEX('الافتراضات'!$C$53:$G$53,AV$9)</f>
        <v/>
      </c>
      <c r="AW70" s="45">
        <f>AW52*INDEX('الافتراضات'!$C$54:$G$54,AW$9)*INDEX('الافتراضات'!$C$53:$G$53,AW$9)</f>
        <v/>
      </c>
      <c r="AX70" s="45">
        <f>AX52*INDEX('الافتراضات'!$C$54:$G$54,AX$9)*INDEX('الافتراضات'!$C$53:$G$53,AX$9)</f>
        <v/>
      </c>
      <c r="AY70" s="45">
        <f>AY52*INDEX('الافتراضات'!$C$54:$G$54,AY$9)*INDEX('الافتراضات'!$C$53:$G$53,AY$9)</f>
        <v/>
      </c>
      <c r="AZ70" s="45">
        <f>AZ52*INDEX('الافتراضات'!$C$54:$G$54,AZ$9)*INDEX('الافتراضات'!$C$53:$G$53,AZ$9)</f>
        <v/>
      </c>
      <c r="BA70" s="45">
        <f>BA52*INDEX('الافتراضات'!$C$54:$G$54,BA$9)*INDEX('الافتراضات'!$C$53:$G$53,BA$9)</f>
        <v/>
      </c>
      <c r="BB70" s="45">
        <f>BB52*INDEX('الافتراضات'!$C$54:$G$54,BB$9)*INDEX('الافتراضات'!$C$53:$G$53,BB$9)</f>
        <v/>
      </c>
      <c r="BC70" s="45">
        <f>BC52*INDEX('الافتراضات'!$C$54:$G$54,BC$9)*INDEX('الافتراضات'!$C$53:$G$53,BC$9)</f>
        <v/>
      </c>
      <c r="BD70" s="45">
        <f>BD52*INDEX('الافتراضات'!$C$54:$G$54,BD$9)*INDEX('الافتراضات'!$C$53:$G$53,BD$9)</f>
        <v/>
      </c>
      <c r="BE70" s="45">
        <f>BE52*INDEX('الافتراضات'!$C$54:$G$54,BE$9)*INDEX('الافتراضات'!$C$53:$G$53,BE$9)</f>
        <v/>
      </c>
      <c r="BF70" s="45">
        <f>BF52*INDEX('الافتراضات'!$C$54:$G$54,BF$9)*INDEX('الافتراضات'!$C$53:$G$53,BF$9)</f>
        <v/>
      </c>
      <c r="BG70" s="45">
        <f>BG52*INDEX('الافتراضات'!$C$54:$G$54,BG$9)*INDEX('الافتراضات'!$C$53:$G$53,BG$9)</f>
        <v/>
      </c>
      <c r="BH70" s="45">
        <f>BH52*INDEX('الافتراضات'!$C$54:$G$54,BH$9)*INDEX('الافتراضات'!$C$53:$G$53,BH$9)</f>
        <v/>
      </c>
      <c r="BI70" s="45">
        <f>BI52*INDEX('الافتراضات'!$C$54:$G$54,BI$9)*INDEX('الافتراضات'!$C$53:$G$53,BI$9)</f>
        <v/>
      </c>
      <c r="BJ70" s="45">
        <f>BJ52*INDEX('الافتراضات'!$C$54:$G$54,BJ$9)*INDEX('الافتراضات'!$C$53:$G$53,BJ$9)</f>
        <v/>
      </c>
      <c r="BK70" s="45">
        <f>BK52*INDEX('الافتراضات'!$C$54:$G$54,BK$9)*INDEX('الافتراضات'!$C$53:$G$53,BK$9)</f>
        <v/>
      </c>
      <c r="BL70" s="45">
        <f>BL52*INDEX('الافتراضات'!$C$54:$G$54,BL$9)*INDEX('الافتراضات'!$C$53:$G$53,BL$9)</f>
        <v/>
      </c>
      <c r="BM70" s="45">
        <f>BM52*INDEX('الافتراضات'!$C$54:$G$54,BM$9)*INDEX('الافتراضات'!$C$53:$G$53,BM$9)</f>
        <v/>
      </c>
    </row>
    <row r="71">
      <c r="A71" s="4" t="inlineStr">
        <is>
          <t>7. رسوم التوصيل كخدمة</t>
        </is>
      </c>
      <c r="B71" s="22" t="inlineStr">
        <is>
          <t>ج.م</t>
        </is>
      </c>
      <c r="C71" s="45">
        <f>C56*INDEX('الافتراضات'!$C$57:$G$57,C$9)</f>
        <v/>
      </c>
      <c r="D71" s="45">
        <f>D56*INDEX('الافتراضات'!$C$57:$G$57,D$9)</f>
        <v/>
      </c>
      <c r="E71" s="45">
        <f>E56*INDEX('الافتراضات'!$C$57:$G$57,E$9)</f>
        <v/>
      </c>
      <c r="F71" s="45">
        <f>F56*INDEX('الافتراضات'!$C$57:$G$57,F$9)</f>
        <v/>
      </c>
      <c r="G71" s="45">
        <f>G56*INDEX('الافتراضات'!$C$57:$G$57,G$9)</f>
        <v/>
      </c>
      <c r="H71" s="45">
        <f>H56*INDEX('الافتراضات'!$C$57:$G$57,H$9)</f>
        <v/>
      </c>
      <c r="I71" s="45">
        <f>I56*INDEX('الافتراضات'!$C$57:$G$57,I$9)</f>
        <v/>
      </c>
      <c r="J71" s="45">
        <f>J56*INDEX('الافتراضات'!$C$57:$G$57,J$9)</f>
        <v/>
      </c>
      <c r="K71" s="45">
        <f>K56*INDEX('الافتراضات'!$C$57:$G$57,K$9)</f>
        <v/>
      </c>
      <c r="L71" s="45">
        <f>L56*INDEX('الافتراضات'!$C$57:$G$57,L$9)</f>
        <v/>
      </c>
      <c r="M71" s="45">
        <f>M56*INDEX('الافتراضات'!$C$57:$G$57,M$9)</f>
        <v/>
      </c>
      <c r="N71" s="45">
        <f>N56*INDEX('الافتراضات'!$C$57:$G$57,N$9)</f>
        <v/>
      </c>
      <c r="O71" s="45">
        <f>O56*INDEX('الافتراضات'!$C$57:$G$57,O$9)</f>
        <v/>
      </c>
      <c r="P71" s="45">
        <f>P56*INDEX('الافتراضات'!$C$57:$G$57,P$9)</f>
        <v/>
      </c>
      <c r="Q71" s="45">
        <f>Q56*INDEX('الافتراضات'!$C$57:$G$57,Q$9)</f>
        <v/>
      </c>
      <c r="R71" s="45">
        <f>R56*INDEX('الافتراضات'!$C$57:$G$57,R$9)</f>
        <v/>
      </c>
      <c r="S71" s="45">
        <f>S56*INDEX('الافتراضات'!$C$57:$G$57,S$9)</f>
        <v/>
      </c>
      <c r="T71" s="45">
        <f>T56*INDEX('الافتراضات'!$C$57:$G$57,T$9)</f>
        <v/>
      </c>
      <c r="U71" s="45">
        <f>U56*INDEX('الافتراضات'!$C$57:$G$57,U$9)</f>
        <v/>
      </c>
      <c r="V71" s="45">
        <f>V56*INDEX('الافتراضات'!$C$57:$G$57,V$9)</f>
        <v/>
      </c>
      <c r="W71" s="45">
        <f>W56*INDEX('الافتراضات'!$C$57:$G$57,W$9)</f>
        <v/>
      </c>
      <c r="X71" s="45">
        <f>X56*INDEX('الافتراضات'!$C$57:$G$57,X$9)</f>
        <v/>
      </c>
      <c r="Y71" s="45">
        <f>Y56*INDEX('الافتراضات'!$C$57:$G$57,Y$9)</f>
        <v/>
      </c>
      <c r="Z71" s="45">
        <f>Z56*INDEX('الافتراضات'!$C$57:$G$57,Z$9)</f>
        <v/>
      </c>
      <c r="AA71" s="45">
        <f>AA56*INDEX('الافتراضات'!$C$57:$G$57,AA$9)</f>
        <v/>
      </c>
      <c r="AB71" s="45">
        <f>AB56*INDEX('الافتراضات'!$C$57:$G$57,AB$9)</f>
        <v/>
      </c>
      <c r="AC71" s="45">
        <f>AC56*INDEX('الافتراضات'!$C$57:$G$57,AC$9)</f>
        <v/>
      </c>
      <c r="AD71" s="45">
        <f>AD56*INDEX('الافتراضات'!$C$57:$G$57,AD$9)</f>
        <v/>
      </c>
      <c r="AE71" s="45">
        <f>AE56*INDEX('الافتراضات'!$C$57:$G$57,AE$9)</f>
        <v/>
      </c>
      <c r="AF71" s="45">
        <f>AF56*INDEX('الافتراضات'!$C$57:$G$57,AF$9)</f>
        <v/>
      </c>
      <c r="AG71" s="45">
        <f>AG56*INDEX('الافتراضات'!$C$57:$G$57,AG$9)</f>
        <v/>
      </c>
      <c r="AH71" s="45">
        <f>AH56*INDEX('الافتراضات'!$C$57:$G$57,AH$9)</f>
        <v/>
      </c>
      <c r="AI71" s="45">
        <f>AI56*INDEX('الافتراضات'!$C$57:$G$57,AI$9)</f>
        <v/>
      </c>
      <c r="AJ71" s="45">
        <f>AJ56*INDEX('الافتراضات'!$C$57:$G$57,AJ$9)</f>
        <v/>
      </c>
      <c r="AK71" s="45">
        <f>AK56*INDEX('الافتراضات'!$C$57:$G$57,AK$9)</f>
        <v/>
      </c>
      <c r="AL71" s="45">
        <f>AL56*INDEX('الافتراضات'!$C$57:$G$57,AL$9)</f>
        <v/>
      </c>
      <c r="AM71" s="45">
        <f>AM56*INDEX('الافتراضات'!$C$57:$G$57,AM$9)</f>
        <v/>
      </c>
      <c r="AN71" s="45">
        <f>AN56*INDEX('الافتراضات'!$C$57:$G$57,AN$9)</f>
        <v/>
      </c>
      <c r="AO71" s="45">
        <f>AO56*INDEX('الافتراضات'!$C$57:$G$57,AO$9)</f>
        <v/>
      </c>
      <c r="AP71" s="45">
        <f>AP56*INDEX('الافتراضات'!$C$57:$G$57,AP$9)</f>
        <v/>
      </c>
      <c r="AQ71" s="45">
        <f>AQ56*INDEX('الافتراضات'!$C$57:$G$57,AQ$9)</f>
        <v/>
      </c>
      <c r="AR71" s="45">
        <f>AR56*INDEX('الافتراضات'!$C$57:$G$57,AR$9)</f>
        <v/>
      </c>
      <c r="AS71" s="45">
        <f>AS56*INDEX('الافتراضات'!$C$57:$G$57,AS$9)</f>
        <v/>
      </c>
      <c r="AT71" s="45">
        <f>AT56*INDEX('الافتراضات'!$C$57:$G$57,AT$9)</f>
        <v/>
      </c>
      <c r="AU71" s="45">
        <f>AU56*INDEX('الافتراضات'!$C$57:$G$57,AU$9)</f>
        <v/>
      </c>
      <c r="AV71" s="45">
        <f>AV56*INDEX('الافتراضات'!$C$57:$G$57,AV$9)</f>
        <v/>
      </c>
      <c r="AW71" s="45">
        <f>AW56*INDEX('الافتراضات'!$C$57:$G$57,AW$9)</f>
        <v/>
      </c>
      <c r="AX71" s="45">
        <f>AX56*INDEX('الافتراضات'!$C$57:$G$57,AX$9)</f>
        <v/>
      </c>
      <c r="AY71" s="45">
        <f>AY56*INDEX('الافتراضات'!$C$57:$G$57,AY$9)</f>
        <v/>
      </c>
      <c r="AZ71" s="45">
        <f>AZ56*INDEX('الافتراضات'!$C$57:$G$57,AZ$9)</f>
        <v/>
      </c>
      <c r="BA71" s="45">
        <f>BA56*INDEX('الافتراضات'!$C$57:$G$57,BA$9)</f>
        <v/>
      </c>
      <c r="BB71" s="45">
        <f>BB56*INDEX('الافتراضات'!$C$57:$G$57,BB$9)</f>
        <v/>
      </c>
      <c r="BC71" s="45">
        <f>BC56*INDEX('الافتراضات'!$C$57:$G$57,BC$9)</f>
        <v/>
      </c>
      <c r="BD71" s="45">
        <f>BD56*INDEX('الافتراضات'!$C$57:$G$57,BD$9)</f>
        <v/>
      </c>
      <c r="BE71" s="45">
        <f>BE56*INDEX('الافتراضات'!$C$57:$G$57,BE$9)</f>
        <v/>
      </c>
      <c r="BF71" s="45">
        <f>BF56*INDEX('الافتراضات'!$C$57:$G$57,BF$9)</f>
        <v/>
      </c>
      <c r="BG71" s="45">
        <f>BG56*INDEX('الافتراضات'!$C$57:$G$57,BG$9)</f>
        <v/>
      </c>
      <c r="BH71" s="45">
        <f>BH56*INDEX('الافتراضات'!$C$57:$G$57,BH$9)</f>
        <v/>
      </c>
      <c r="BI71" s="45">
        <f>BI56*INDEX('الافتراضات'!$C$57:$G$57,BI$9)</f>
        <v/>
      </c>
      <c r="BJ71" s="45">
        <f>BJ56*INDEX('الافتراضات'!$C$57:$G$57,BJ$9)</f>
        <v/>
      </c>
      <c r="BK71" s="45">
        <f>BK56*INDEX('الافتراضات'!$C$57:$G$57,BK$9)</f>
        <v/>
      </c>
      <c r="BL71" s="45">
        <f>BL56*INDEX('الافتراضات'!$C$57:$G$57,BL$9)</f>
        <v/>
      </c>
      <c r="BM71" s="45">
        <f>BM56*INDEX('الافتراضات'!$C$57:$G$57,BM$9)</f>
        <v/>
      </c>
    </row>
    <row r="72">
      <c r="A72" s="4" t="inlineStr">
        <is>
          <t>8. إعلانات التطبيق (أماكن مدفوعة)</t>
        </is>
      </c>
      <c r="B72" s="22" t="inlineStr">
        <is>
          <t>ج.م</t>
        </is>
      </c>
      <c r="C72" s="45">
        <f>C59*INDEX('الافتراضات'!$C$47:$G$47,C$9)</f>
        <v/>
      </c>
      <c r="D72" s="45">
        <f>D59*INDEX('الافتراضات'!$C$47:$G$47,D$9)</f>
        <v/>
      </c>
      <c r="E72" s="45">
        <f>E59*INDEX('الافتراضات'!$C$47:$G$47,E$9)</f>
        <v/>
      </c>
      <c r="F72" s="45">
        <f>F59*INDEX('الافتراضات'!$C$47:$G$47,F$9)</f>
        <v/>
      </c>
      <c r="G72" s="45">
        <f>G59*INDEX('الافتراضات'!$C$47:$G$47,G$9)</f>
        <v/>
      </c>
      <c r="H72" s="45">
        <f>H59*INDEX('الافتراضات'!$C$47:$G$47,H$9)</f>
        <v/>
      </c>
      <c r="I72" s="45">
        <f>I59*INDEX('الافتراضات'!$C$47:$G$47,I$9)</f>
        <v/>
      </c>
      <c r="J72" s="45">
        <f>J59*INDEX('الافتراضات'!$C$47:$G$47,J$9)</f>
        <v/>
      </c>
      <c r="K72" s="45">
        <f>K59*INDEX('الافتراضات'!$C$47:$G$47,K$9)</f>
        <v/>
      </c>
      <c r="L72" s="45">
        <f>L59*INDEX('الافتراضات'!$C$47:$G$47,L$9)</f>
        <v/>
      </c>
      <c r="M72" s="45">
        <f>M59*INDEX('الافتراضات'!$C$47:$G$47,M$9)</f>
        <v/>
      </c>
      <c r="N72" s="45">
        <f>N59*INDEX('الافتراضات'!$C$47:$G$47,N$9)</f>
        <v/>
      </c>
      <c r="O72" s="45">
        <f>O59*INDEX('الافتراضات'!$C$47:$G$47,O$9)</f>
        <v/>
      </c>
      <c r="P72" s="45">
        <f>P59*INDEX('الافتراضات'!$C$47:$G$47,P$9)</f>
        <v/>
      </c>
      <c r="Q72" s="45">
        <f>Q59*INDEX('الافتراضات'!$C$47:$G$47,Q$9)</f>
        <v/>
      </c>
      <c r="R72" s="45">
        <f>R59*INDEX('الافتراضات'!$C$47:$G$47,R$9)</f>
        <v/>
      </c>
      <c r="S72" s="45">
        <f>S59*INDEX('الافتراضات'!$C$47:$G$47,S$9)</f>
        <v/>
      </c>
      <c r="T72" s="45">
        <f>T59*INDEX('الافتراضات'!$C$47:$G$47,T$9)</f>
        <v/>
      </c>
      <c r="U72" s="45">
        <f>U59*INDEX('الافتراضات'!$C$47:$G$47,U$9)</f>
        <v/>
      </c>
      <c r="V72" s="45">
        <f>V59*INDEX('الافتراضات'!$C$47:$G$47,V$9)</f>
        <v/>
      </c>
      <c r="W72" s="45">
        <f>W59*INDEX('الافتراضات'!$C$47:$G$47,W$9)</f>
        <v/>
      </c>
      <c r="X72" s="45">
        <f>X59*INDEX('الافتراضات'!$C$47:$G$47,X$9)</f>
        <v/>
      </c>
      <c r="Y72" s="45">
        <f>Y59*INDEX('الافتراضات'!$C$47:$G$47,Y$9)</f>
        <v/>
      </c>
      <c r="Z72" s="45">
        <f>Z59*INDEX('الافتراضات'!$C$47:$G$47,Z$9)</f>
        <v/>
      </c>
      <c r="AA72" s="45">
        <f>AA59*INDEX('الافتراضات'!$C$47:$G$47,AA$9)</f>
        <v/>
      </c>
      <c r="AB72" s="45">
        <f>AB59*INDEX('الافتراضات'!$C$47:$G$47,AB$9)</f>
        <v/>
      </c>
      <c r="AC72" s="45">
        <f>AC59*INDEX('الافتراضات'!$C$47:$G$47,AC$9)</f>
        <v/>
      </c>
      <c r="AD72" s="45">
        <f>AD59*INDEX('الافتراضات'!$C$47:$G$47,AD$9)</f>
        <v/>
      </c>
      <c r="AE72" s="45">
        <f>AE59*INDEX('الافتراضات'!$C$47:$G$47,AE$9)</f>
        <v/>
      </c>
      <c r="AF72" s="45">
        <f>AF59*INDEX('الافتراضات'!$C$47:$G$47,AF$9)</f>
        <v/>
      </c>
      <c r="AG72" s="45">
        <f>AG59*INDEX('الافتراضات'!$C$47:$G$47,AG$9)</f>
        <v/>
      </c>
      <c r="AH72" s="45">
        <f>AH59*INDEX('الافتراضات'!$C$47:$G$47,AH$9)</f>
        <v/>
      </c>
      <c r="AI72" s="45">
        <f>AI59*INDEX('الافتراضات'!$C$47:$G$47,AI$9)</f>
        <v/>
      </c>
      <c r="AJ72" s="45">
        <f>AJ59*INDEX('الافتراضات'!$C$47:$G$47,AJ$9)</f>
        <v/>
      </c>
      <c r="AK72" s="45">
        <f>AK59*INDEX('الافتراضات'!$C$47:$G$47,AK$9)</f>
        <v/>
      </c>
      <c r="AL72" s="45">
        <f>AL59*INDEX('الافتراضات'!$C$47:$G$47,AL$9)</f>
        <v/>
      </c>
      <c r="AM72" s="45">
        <f>AM59*INDEX('الافتراضات'!$C$47:$G$47,AM$9)</f>
        <v/>
      </c>
      <c r="AN72" s="45">
        <f>AN59*INDEX('الافتراضات'!$C$47:$G$47,AN$9)</f>
        <v/>
      </c>
      <c r="AO72" s="45">
        <f>AO59*INDEX('الافتراضات'!$C$47:$G$47,AO$9)</f>
        <v/>
      </c>
      <c r="AP72" s="45">
        <f>AP59*INDEX('الافتراضات'!$C$47:$G$47,AP$9)</f>
        <v/>
      </c>
      <c r="AQ72" s="45">
        <f>AQ59*INDEX('الافتراضات'!$C$47:$G$47,AQ$9)</f>
        <v/>
      </c>
      <c r="AR72" s="45">
        <f>AR59*INDEX('الافتراضات'!$C$47:$G$47,AR$9)</f>
        <v/>
      </c>
      <c r="AS72" s="45">
        <f>AS59*INDEX('الافتراضات'!$C$47:$G$47,AS$9)</f>
        <v/>
      </c>
      <c r="AT72" s="45">
        <f>AT59*INDEX('الافتراضات'!$C$47:$G$47,AT$9)</f>
        <v/>
      </c>
      <c r="AU72" s="45">
        <f>AU59*INDEX('الافتراضات'!$C$47:$G$47,AU$9)</f>
        <v/>
      </c>
      <c r="AV72" s="45">
        <f>AV59*INDEX('الافتراضات'!$C$47:$G$47,AV$9)</f>
        <v/>
      </c>
      <c r="AW72" s="45">
        <f>AW59*INDEX('الافتراضات'!$C$47:$G$47,AW$9)</f>
        <v/>
      </c>
      <c r="AX72" s="45">
        <f>AX59*INDEX('الافتراضات'!$C$47:$G$47,AX$9)</f>
        <v/>
      </c>
      <c r="AY72" s="45">
        <f>AY59*INDEX('الافتراضات'!$C$47:$G$47,AY$9)</f>
        <v/>
      </c>
      <c r="AZ72" s="45">
        <f>AZ59*INDEX('الافتراضات'!$C$47:$G$47,AZ$9)</f>
        <v/>
      </c>
      <c r="BA72" s="45">
        <f>BA59*INDEX('الافتراضات'!$C$47:$G$47,BA$9)</f>
        <v/>
      </c>
      <c r="BB72" s="45">
        <f>BB59*INDEX('الافتراضات'!$C$47:$G$47,BB$9)</f>
        <v/>
      </c>
      <c r="BC72" s="45">
        <f>BC59*INDEX('الافتراضات'!$C$47:$G$47,BC$9)</f>
        <v/>
      </c>
      <c r="BD72" s="45">
        <f>BD59*INDEX('الافتراضات'!$C$47:$G$47,BD$9)</f>
        <v/>
      </c>
      <c r="BE72" s="45">
        <f>BE59*INDEX('الافتراضات'!$C$47:$G$47,BE$9)</f>
        <v/>
      </c>
      <c r="BF72" s="45">
        <f>BF59*INDEX('الافتراضات'!$C$47:$G$47,BF$9)</f>
        <v/>
      </c>
      <c r="BG72" s="45">
        <f>BG59*INDEX('الافتراضات'!$C$47:$G$47,BG$9)</f>
        <v/>
      </c>
      <c r="BH72" s="45">
        <f>BH59*INDEX('الافتراضات'!$C$47:$G$47,BH$9)</f>
        <v/>
      </c>
      <c r="BI72" s="45">
        <f>BI59*INDEX('الافتراضات'!$C$47:$G$47,BI$9)</f>
        <v/>
      </c>
      <c r="BJ72" s="45">
        <f>BJ59*INDEX('الافتراضات'!$C$47:$G$47,BJ$9)</f>
        <v/>
      </c>
      <c r="BK72" s="45">
        <f>BK59*INDEX('الافتراضات'!$C$47:$G$47,BK$9)</f>
        <v/>
      </c>
      <c r="BL72" s="45">
        <f>BL59*INDEX('الافتراضات'!$C$47:$G$47,BL$9)</f>
        <v/>
      </c>
      <c r="BM72" s="45">
        <f>BM59*INDEX('الافتراضات'!$C$47:$G$47,BM$9)</f>
        <v/>
      </c>
    </row>
    <row r="73">
      <c r="A73" s="4" t="inlineStr">
        <is>
          <t>9. حوافز الموردين</t>
        </is>
      </c>
      <c r="B73" s="22" t="inlineStr">
        <is>
          <t>ج.م</t>
        </is>
      </c>
      <c r="C73" s="45">
        <f>C59*INDEX('الافتراضات'!$C$46:$G$46,C$9)</f>
        <v/>
      </c>
      <c r="D73" s="45">
        <f>D59*INDEX('الافتراضات'!$C$46:$G$46,D$9)</f>
        <v/>
      </c>
      <c r="E73" s="45">
        <f>E59*INDEX('الافتراضات'!$C$46:$G$46,E$9)</f>
        <v/>
      </c>
      <c r="F73" s="45">
        <f>F59*INDEX('الافتراضات'!$C$46:$G$46,F$9)</f>
        <v/>
      </c>
      <c r="G73" s="45">
        <f>G59*INDEX('الافتراضات'!$C$46:$G$46,G$9)</f>
        <v/>
      </c>
      <c r="H73" s="45">
        <f>H59*INDEX('الافتراضات'!$C$46:$G$46,H$9)</f>
        <v/>
      </c>
      <c r="I73" s="45">
        <f>I59*INDEX('الافتراضات'!$C$46:$G$46,I$9)</f>
        <v/>
      </c>
      <c r="J73" s="45">
        <f>J59*INDEX('الافتراضات'!$C$46:$G$46,J$9)</f>
        <v/>
      </c>
      <c r="K73" s="45">
        <f>K59*INDEX('الافتراضات'!$C$46:$G$46,K$9)</f>
        <v/>
      </c>
      <c r="L73" s="45">
        <f>L59*INDEX('الافتراضات'!$C$46:$G$46,L$9)</f>
        <v/>
      </c>
      <c r="M73" s="45">
        <f>M59*INDEX('الافتراضات'!$C$46:$G$46,M$9)</f>
        <v/>
      </c>
      <c r="N73" s="45">
        <f>N59*INDEX('الافتراضات'!$C$46:$G$46,N$9)</f>
        <v/>
      </c>
      <c r="O73" s="45">
        <f>O59*INDEX('الافتراضات'!$C$46:$G$46,O$9)</f>
        <v/>
      </c>
      <c r="P73" s="45">
        <f>P59*INDEX('الافتراضات'!$C$46:$G$46,P$9)</f>
        <v/>
      </c>
      <c r="Q73" s="45">
        <f>Q59*INDEX('الافتراضات'!$C$46:$G$46,Q$9)</f>
        <v/>
      </c>
      <c r="R73" s="45">
        <f>R59*INDEX('الافتراضات'!$C$46:$G$46,R$9)</f>
        <v/>
      </c>
      <c r="S73" s="45">
        <f>S59*INDEX('الافتراضات'!$C$46:$G$46,S$9)</f>
        <v/>
      </c>
      <c r="T73" s="45">
        <f>T59*INDEX('الافتراضات'!$C$46:$G$46,T$9)</f>
        <v/>
      </c>
      <c r="U73" s="45">
        <f>U59*INDEX('الافتراضات'!$C$46:$G$46,U$9)</f>
        <v/>
      </c>
      <c r="V73" s="45">
        <f>V59*INDEX('الافتراضات'!$C$46:$G$46,V$9)</f>
        <v/>
      </c>
      <c r="W73" s="45">
        <f>W59*INDEX('الافتراضات'!$C$46:$G$46,W$9)</f>
        <v/>
      </c>
      <c r="X73" s="45">
        <f>X59*INDEX('الافتراضات'!$C$46:$G$46,X$9)</f>
        <v/>
      </c>
      <c r="Y73" s="45">
        <f>Y59*INDEX('الافتراضات'!$C$46:$G$46,Y$9)</f>
        <v/>
      </c>
      <c r="Z73" s="45">
        <f>Z59*INDEX('الافتراضات'!$C$46:$G$46,Z$9)</f>
        <v/>
      </c>
      <c r="AA73" s="45">
        <f>AA59*INDEX('الافتراضات'!$C$46:$G$46,AA$9)</f>
        <v/>
      </c>
      <c r="AB73" s="45">
        <f>AB59*INDEX('الافتراضات'!$C$46:$G$46,AB$9)</f>
        <v/>
      </c>
      <c r="AC73" s="45">
        <f>AC59*INDEX('الافتراضات'!$C$46:$G$46,AC$9)</f>
        <v/>
      </c>
      <c r="AD73" s="45">
        <f>AD59*INDEX('الافتراضات'!$C$46:$G$46,AD$9)</f>
        <v/>
      </c>
      <c r="AE73" s="45">
        <f>AE59*INDEX('الافتراضات'!$C$46:$G$46,AE$9)</f>
        <v/>
      </c>
      <c r="AF73" s="45">
        <f>AF59*INDEX('الافتراضات'!$C$46:$G$46,AF$9)</f>
        <v/>
      </c>
      <c r="AG73" s="45">
        <f>AG59*INDEX('الافتراضات'!$C$46:$G$46,AG$9)</f>
        <v/>
      </c>
      <c r="AH73" s="45">
        <f>AH59*INDEX('الافتراضات'!$C$46:$G$46,AH$9)</f>
        <v/>
      </c>
      <c r="AI73" s="45">
        <f>AI59*INDEX('الافتراضات'!$C$46:$G$46,AI$9)</f>
        <v/>
      </c>
      <c r="AJ73" s="45">
        <f>AJ59*INDEX('الافتراضات'!$C$46:$G$46,AJ$9)</f>
        <v/>
      </c>
      <c r="AK73" s="45">
        <f>AK59*INDEX('الافتراضات'!$C$46:$G$46,AK$9)</f>
        <v/>
      </c>
      <c r="AL73" s="45">
        <f>AL59*INDEX('الافتراضات'!$C$46:$G$46,AL$9)</f>
        <v/>
      </c>
      <c r="AM73" s="45">
        <f>AM59*INDEX('الافتراضات'!$C$46:$G$46,AM$9)</f>
        <v/>
      </c>
      <c r="AN73" s="45">
        <f>AN59*INDEX('الافتراضات'!$C$46:$G$46,AN$9)</f>
        <v/>
      </c>
      <c r="AO73" s="45">
        <f>AO59*INDEX('الافتراضات'!$C$46:$G$46,AO$9)</f>
        <v/>
      </c>
      <c r="AP73" s="45">
        <f>AP59*INDEX('الافتراضات'!$C$46:$G$46,AP$9)</f>
        <v/>
      </c>
      <c r="AQ73" s="45">
        <f>AQ59*INDEX('الافتراضات'!$C$46:$G$46,AQ$9)</f>
        <v/>
      </c>
      <c r="AR73" s="45">
        <f>AR59*INDEX('الافتراضات'!$C$46:$G$46,AR$9)</f>
        <v/>
      </c>
      <c r="AS73" s="45">
        <f>AS59*INDEX('الافتراضات'!$C$46:$G$46,AS$9)</f>
        <v/>
      </c>
      <c r="AT73" s="45">
        <f>AT59*INDEX('الافتراضات'!$C$46:$G$46,AT$9)</f>
        <v/>
      </c>
      <c r="AU73" s="45">
        <f>AU59*INDEX('الافتراضات'!$C$46:$G$46,AU$9)</f>
        <v/>
      </c>
      <c r="AV73" s="45">
        <f>AV59*INDEX('الافتراضات'!$C$46:$G$46,AV$9)</f>
        <v/>
      </c>
      <c r="AW73" s="45">
        <f>AW59*INDEX('الافتراضات'!$C$46:$G$46,AW$9)</f>
        <v/>
      </c>
      <c r="AX73" s="45">
        <f>AX59*INDEX('الافتراضات'!$C$46:$G$46,AX$9)</f>
        <v/>
      </c>
      <c r="AY73" s="45">
        <f>AY59*INDEX('الافتراضات'!$C$46:$G$46,AY$9)</f>
        <v/>
      </c>
      <c r="AZ73" s="45">
        <f>AZ59*INDEX('الافتراضات'!$C$46:$G$46,AZ$9)</f>
        <v/>
      </c>
      <c r="BA73" s="45">
        <f>BA59*INDEX('الافتراضات'!$C$46:$G$46,BA$9)</f>
        <v/>
      </c>
      <c r="BB73" s="45">
        <f>BB59*INDEX('الافتراضات'!$C$46:$G$46,BB$9)</f>
        <v/>
      </c>
      <c r="BC73" s="45">
        <f>BC59*INDEX('الافتراضات'!$C$46:$G$46,BC$9)</f>
        <v/>
      </c>
      <c r="BD73" s="45">
        <f>BD59*INDEX('الافتراضات'!$C$46:$G$46,BD$9)</f>
        <v/>
      </c>
      <c r="BE73" s="45">
        <f>BE59*INDEX('الافتراضات'!$C$46:$G$46,BE$9)</f>
        <v/>
      </c>
      <c r="BF73" s="45">
        <f>BF59*INDEX('الافتراضات'!$C$46:$G$46,BF$9)</f>
        <v/>
      </c>
      <c r="BG73" s="45">
        <f>BG59*INDEX('الافتراضات'!$C$46:$G$46,BG$9)</f>
        <v/>
      </c>
      <c r="BH73" s="45">
        <f>BH59*INDEX('الافتراضات'!$C$46:$G$46,BH$9)</f>
        <v/>
      </c>
      <c r="BI73" s="45">
        <f>BI59*INDEX('الافتراضات'!$C$46:$G$46,BI$9)</f>
        <v/>
      </c>
      <c r="BJ73" s="45">
        <f>BJ59*INDEX('الافتراضات'!$C$46:$G$46,BJ$9)</f>
        <v/>
      </c>
      <c r="BK73" s="45">
        <f>BK59*INDEX('الافتراضات'!$C$46:$G$46,BK$9)</f>
        <v/>
      </c>
      <c r="BL73" s="45">
        <f>BL59*INDEX('الافتراضات'!$C$46:$G$46,BL$9)</f>
        <v/>
      </c>
      <c r="BM73" s="45">
        <f>BM59*INDEX('الافتراضات'!$C$46:$G$46,BM$9)</f>
        <v/>
      </c>
    </row>
    <row r="74">
      <c r="A74" s="48" t="inlineStr">
        <is>
          <t>صافي الإيراد</t>
        </is>
      </c>
      <c r="B74" s="49" t="inlineStr">
        <is>
          <t>ج.م</t>
        </is>
      </c>
      <c r="C74" s="50">
        <f>SUM(C64:C65)+C66+SUM(C68:C73)</f>
        <v/>
      </c>
      <c r="D74" s="50">
        <f>SUM(D64:D65)+D66+SUM(D68:D73)</f>
        <v/>
      </c>
      <c r="E74" s="50">
        <f>SUM(E64:E65)+E66+SUM(E68:E73)</f>
        <v/>
      </c>
      <c r="F74" s="50">
        <f>SUM(F64:F65)+F66+SUM(F68:F73)</f>
        <v/>
      </c>
      <c r="G74" s="50">
        <f>SUM(G64:G65)+G66+SUM(G68:G73)</f>
        <v/>
      </c>
      <c r="H74" s="50">
        <f>SUM(H64:H65)+H66+SUM(H68:H73)</f>
        <v/>
      </c>
      <c r="I74" s="50">
        <f>SUM(I64:I65)+I66+SUM(I68:I73)</f>
        <v/>
      </c>
      <c r="J74" s="50">
        <f>SUM(J64:J65)+J66+SUM(J68:J73)</f>
        <v/>
      </c>
      <c r="K74" s="50">
        <f>SUM(K64:K65)+K66+SUM(K68:K73)</f>
        <v/>
      </c>
      <c r="L74" s="50">
        <f>SUM(L64:L65)+L66+SUM(L68:L73)</f>
        <v/>
      </c>
      <c r="M74" s="50">
        <f>SUM(M64:M65)+M66+SUM(M68:M73)</f>
        <v/>
      </c>
      <c r="N74" s="50">
        <f>SUM(N64:N65)+N66+SUM(N68:N73)</f>
        <v/>
      </c>
      <c r="O74" s="50">
        <f>SUM(O64:O65)+O66+SUM(O68:O73)</f>
        <v/>
      </c>
      <c r="P74" s="50">
        <f>SUM(P64:P65)+P66+SUM(P68:P73)</f>
        <v/>
      </c>
      <c r="Q74" s="50">
        <f>SUM(Q64:Q65)+Q66+SUM(Q68:Q73)</f>
        <v/>
      </c>
      <c r="R74" s="50">
        <f>SUM(R64:R65)+R66+SUM(R68:R73)</f>
        <v/>
      </c>
      <c r="S74" s="50">
        <f>SUM(S64:S65)+S66+SUM(S68:S73)</f>
        <v/>
      </c>
      <c r="T74" s="50">
        <f>SUM(T64:T65)+T66+SUM(T68:T73)</f>
        <v/>
      </c>
      <c r="U74" s="50">
        <f>SUM(U64:U65)+U66+SUM(U68:U73)</f>
        <v/>
      </c>
      <c r="V74" s="50">
        <f>SUM(V64:V65)+V66+SUM(V68:V73)</f>
        <v/>
      </c>
      <c r="W74" s="50">
        <f>SUM(W64:W65)+W66+SUM(W68:W73)</f>
        <v/>
      </c>
      <c r="X74" s="50">
        <f>SUM(X64:X65)+X66+SUM(X68:X73)</f>
        <v/>
      </c>
      <c r="Y74" s="50">
        <f>SUM(Y64:Y65)+Y66+SUM(Y68:Y73)</f>
        <v/>
      </c>
      <c r="Z74" s="50">
        <f>SUM(Z64:Z65)+Z66+SUM(Z68:Z73)</f>
        <v/>
      </c>
      <c r="AA74" s="50">
        <f>SUM(AA64:AA65)+AA66+SUM(AA68:AA73)</f>
        <v/>
      </c>
      <c r="AB74" s="50">
        <f>SUM(AB64:AB65)+AB66+SUM(AB68:AB73)</f>
        <v/>
      </c>
      <c r="AC74" s="50">
        <f>SUM(AC64:AC65)+AC66+SUM(AC68:AC73)</f>
        <v/>
      </c>
      <c r="AD74" s="50">
        <f>SUM(AD64:AD65)+AD66+SUM(AD68:AD73)</f>
        <v/>
      </c>
      <c r="AE74" s="50">
        <f>SUM(AE64:AE65)+AE66+SUM(AE68:AE73)</f>
        <v/>
      </c>
      <c r="AF74" s="50">
        <f>SUM(AF64:AF65)+AF66+SUM(AF68:AF73)</f>
        <v/>
      </c>
      <c r="AG74" s="50">
        <f>SUM(AG64:AG65)+AG66+SUM(AG68:AG73)</f>
        <v/>
      </c>
      <c r="AH74" s="50">
        <f>SUM(AH64:AH65)+AH66+SUM(AH68:AH73)</f>
        <v/>
      </c>
      <c r="AI74" s="50">
        <f>SUM(AI64:AI65)+AI66+SUM(AI68:AI73)</f>
        <v/>
      </c>
      <c r="AJ74" s="50">
        <f>SUM(AJ64:AJ65)+AJ66+SUM(AJ68:AJ73)</f>
        <v/>
      </c>
      <c r="AK74" s="50">
        <f>SUM(AK64:AK65)+AK66+SUM(AK68:AK73)</f>
        <v/>
      </c>
      <c r="AL74" s="50">
        <f>SUM(AL64:AL65)+AL66+SUM(AL68:AL73)</f>
        <v/>
      </c>
      <c r="AM74" s="50">
        <f>SUM(AM64:AM65)+AM66+SUM(AM68:AM73)</f>
        <v/>
      </c>
      <c r="AN74" s="50">
        <f>SUM(AN64:AN65)+AN66+SUM(AN68:AN73)</f>
        <v/>
      </c>
      <c r="AO74" s="50">
        <f>SUM(AO64:AO65)+AO66+SUM(AO68:AO73)</f>
        <v/>
      </c>
      <c r="AP74" s="50">
        <f>SUM(AP64:AP65)+AP66+SUM(AP68:AP73)</f>
        <v/>
      </c>
      <c r="AQ74" s="50">
        <f>SUM(AQ64:AQ65)+AQ66+SUM(AQ68:AQ73)</f>
        <v/>
      </c>
      <c r="AR74" s="50">
        <f>SUM(AR64:AR65)+AR66+SUM(AR68:AR73)</f>
        <v/>
      </c>
      <c r="AS74" s="50">
        <f>SUM(AS64:AS65)+AS66+SUM(AS68:AS73)</f>
        <v/>
      </c>
      <c r="AT74" s="50">
        <f>SUM(AT64:AT65)+AT66+SUM(AT68:AT73)</f>
        <v/>
      </c>
      <c r="AU74" s="50">
        <f>SUM(AU64:AU65)+AU66+SUM(AU68:AU73)</f>
        <v/>
      </c>
      <c r="AV74" s="50">
        <f>SUM(AV64:AV65)+AV66+SUM(AV68:AV73)</f>
        <v/>
      </c>
      <c r="AW74" s="50">
        <f>SUM(AW64:AW65)+AW66+SUM(AW68:AW73)</f>
        <v/>
      </c>
      <c r="AX74" s="50">
        <f>SUM(AX64:AX65)+AX66+SUM(AX68:AX73)</f>
        <v/>
      </c>
      <c r="AY74" s="50">
        <f>SUM(AY64:AY65)+AY66+SUM(AY68:AY73)</f>
        <v/>
      </c>
      <c r="AZ74" s="50">
        <f>SUM(AZ64:AZ65)+AZ66+SUM(AZ68:AZ73)</f>
        <v/>
      </c>
      <c r="BA74" s="50">
        <f>SUM(BA64:BA65)+BA66+SUM(BA68:BA73)</f>
        <v/>
      </c>
      <c r="BB74" s="50">
        <f>SUM(BB64:BB65)+BB66+SUM(BB68:BB73)</f>
        <v/>
      </c>
      <c r="BC74" s="50">
        <f>SUM(BC64:BC65)+BC66+SUM(BC68:BC73)</f>
        <v/>
      </c>
      <c r="BD74" s="50">
        <f>SUM(BD64:BD65)+BD66+SUM(BD68:BD73)</f>
        <v/>
      </c>
      <c r="BE74" s="50">
        <f>SUM(BE64:BE65)+BE66+SUM(BE68:BE73)</f>
        <v/>
      </c>
      <c r="BF74" s="50">
        <f>SUM(BF64:BF65)+BF66+SUM(BF68:BF73)</f>
        <v/>
      </c>
      <c r="BG74" s="50">
        <f>SUM(BG64:BG65)+BG66+SUM(BG68:BG73)</f>
        <v/>
      </c>
      <c r="BH74" s="50">
        <f>SUM(BH64:BH65)+BH66+SUM(BH68:BH73)</f>
        <v/>
      </c>
      <c r="BI74" s="50">
        <f>SUM(BI64:BI65)+BI66+SUM(BI68:BI73)</f>
        <v/>
      </c>
      <c r="BJ74" s="50">
        <f>SUM(BJ64:BJ65)+BJ66+SUM(BJ68:BJ73)</f>
        <v/>
      </c>
      <c r="BK74" s="50">
        <f>SUM(BK64:BK65)+BK66+SUM(BK68:BK73)</f>
        <v/>
      </c>
      <c r="BL74" s="50">
        <f>SUM(BL64:BL65)+BL66+SUM(BL68:BL73)</f>
        <v/>
      </c>
      <c r="BM74" s="50">
        <f>SUM(BM64:BM65)+BM66+SUM(BM68:BM73)</f>
        <v/>
      </c>
    </row>
    <row r="75">
      <c r="A75" s="4" t="inlineStr">
        <is>
          <t>تكلفة البضاعة المباعة (مخزون مملوك)</t>
        </is>
      </c>
      <c r="B75" s="22" t="inlineStr">
        <is>
          <t>ج.م</t>
        </is>
      </c>
      <c r="C75" s="45">
        <f>C59*(1-INDEX('الافتراضات'!$C$45:$G$45,C$9))</f>
        <v/>
      </c>
      <c r="D75" s="45">
        <f>D59*(1-INDEX('الافتراضات'!$C$45:$G$45,D$9))</f>
        <v/>
      </c>
      <c r="E75" s="45">
        <f>E59*(1-INDEX('الافتراضات'!$C$45:$G$45,E$9))</f>
        <v/>
      </c>
      <c r="F75" s="45">
        <f>F59*(1-INDEX('الافتراضات'!$C$45:$G$45,F$9))</f>
        <v/>
      </c>
      <c r="G75" s="45">
        <f>G59*(1-INDEX('الافتراضات'!$C$45:$G$45,G$9))</f>
        <v/>
      </c>
      <c r="H75" s="45">
        <f>H59*(1-INDEX('الافتراضات'!$C$45:$G$45,H$9))</f>
        <v/>
      </c>
      <c r="I75" s="45">
        <f>I59*(1-INDEX('الافتراضات'!$C$45:$G$45,I$9))</f>
        <v/>
      </c>
      <c r="J75" s="45">
        <f>J59*(1-INDEX('الافتراضات'!$C$45:$G$45,J$9))</f>
        <v/>
      </c>
      <c r="K75" s="45">
        <f>K59*(1-INDEX('الافتراضات'!$C$45:$G$45,K$9))</f>
        <v/>
      </c>
      <c r="L75" s="45">
        <f>L59*(1-INDEX('الافتراضات'!$C$45:$G$45,L$9))</f>
        <v/>
      </c>
      <c r="M75" s="45">
        <f>M59*(1-INDEX('الافتراضات'!$C$45:$G$45,M$9))</f>
        <v/>
      </c>
      <c r="N75" s="45">
        <f>N59*(1-INDEX('الافتراضات'!$C$45:$G$45,N$9))</f>
        <v/>
      </c>
      <c r="O75" s="45">
        <f>O59*(1-INDEX('الافتراضات'!$C$45:$G$45,O$9))</f>
        <v/>
      </c>
      <c r="P75" s="45">
        <f>P59*(1-INDEX('الافتراضات'!$C$45:$G$45,P$9))</f>
        <v/>
      </c>
      <c r="Q75" s="45">
        <f>Q59*(1-INDEX('الافتراضات'!$C$45:$G$45,Q$9))</f>
        <v/>
      </c>
      <c r="R75" s="45">
        <f>R59*(1-INDEX('الافتراضات'!$C$45:$G$45,R$9))</f>
        <v/>
      </c>
      <c r="S75" s="45">
        <f>S59*(1-INDEX('الافتراضات'!$C$45:$G$45,S$9))</f>
        <v/>
      </c>
      <c r="T75" s="45">
        <f>T59*(1-INDEX('الافتراضات'!$C$45:$G$45,T$9))</f>
        <v/>
      </c>
      <c r="U75" s="45">
        <f>U59*(1-INDEX('الافتراضات'!$C$45:$G$45,U$9))</f>
        <v/>
      </c>
      <c r="V75" s="45">
        <f>V59*(1-INDEX('الافتراضات'!$C$45:$G$45,V$9))</f>
        <v/>
      </c>
      <c r="W75" s="45">
        <f>W59*(1-INDEX('الافتراضات'!$C$45:$G$45,W$9))</f>
        <v/>
      </c>
      <c r="X75" s="45">
        <f>X59*(1-INDEX('الافتراضات'!$C$45:$G$45,X$9))</f>
        <v/>
      </c>
      <c r="Y75" s="45">
        <f>Y59*(1-INDEX('الافتراضات'!$C$45:$G$45,Y$9))</f>
        <v/>
      </c>
      <c r="Z75" s="45">
        <f>Z59*(1-INDEX('الافتراضات'!$C$45:$G$45,Z$9))</f>
        <v/>
      </c>
      <c r="AA75" s="45">
        <f>AA59*(1-INDEX('الافتراضات'!$C$45:$G$45,AA$9))</f>
        <v/>
      </c>
      <c r="AB75" s="45">
        <f>AB59*(1-INDEX('الافتراضات'!$C$45:$G$45,AB$9))</f>
        <v/>
      </c>
      <c r="AC75" s="45">
        <f>AC59*(1-INDEX('الافتراضات'!$C$45:$G$45,AC$9))</f>
        <v/>
      </c>
      <c r="AD75" s="45">
        <f>AD59*(1-INDEX('الافتراضات'!$C$45:$G$45,AD$9))</f>
        <v/>
      </c>
      <c r="AE75" s="45">
        <f>AE59*(1-INDEX('الافتراضات'!$C$45:$G$45,AE$9))</f>
        <v/>
      </c>
      <c r="AF75" s="45">
        <f>AF59*(1-INDEX('الافتراضات'!$C$45:$G$45,AF$9))</f>
        <v/>
      </c>
      <c r="AG75" s="45">
        <f>AG59*(1-INDEX('الافتراضات'!$C$45:$G$45,AG$9))</f>
        <v/>
      </c>
      <c r="AH75" s="45">
        <f>AH59*(1-INDEX('الافتراضات'!$C$45:$G$45,AH$9))</f>
        <v/>
      </c>
      <c r="AI75" s="45">
        <f>AI59*(1-INDEX('الافتراضات'!$C$45:$G$45,AI$9))</f>
        <v/>
      </c>
      <c r="AJ75" s="45">
        <f>AJ59*(1-INDEX('الافتراضات'!$C$45:$G$45,AJ$9))</f>
        <v/>
      </c>
      <c r="AK75" s="45">
        <f>AK59*(1-INDEX('الافتراضات'!$C$45:$G$45,AK$9))</f>
        <v/>
      </c>
      <c r="AL75" s="45">
        <f>AL59*(1-INDEX('الافتراضات'!$C$45:$G$45,AL$9))</f>
        <v/>
      </c>
      <c r="AM75" s="45">
        <f>AM59*(1-INDEX('الافتراضات'!$C$45:$G$45,AM$9))</f>
        <v/>
      </c>
      <c r="AN75" s="45">
        <f>AN59*(1-INDEX('الافتراضات'!$C$45:$G$45,AN$9))</f>
        <v/>
      </c>
      <c r="AO75" s="45">
        <f>AO59*(1-INDEX('الافتراضات'!$C$45:$G$45,AO$9))</f>
        <v/>
      </c>
      <c r="AP75" s="45">
        <f>AP59*(1-INDEX('الافتراضات'!$C$45:$G$45,AP$9))</f>
        <v/>
      </c>
      <c r="AQ75" s="45">
        <f>AQ59*(1-INDEX('الافتراضات'!$C$45:$G$45,AQ$9))</f>
        <v/>
      </c>
      <c r="AR75" s="45">
        <f>AR59*(1-INDEX('الافتراضات'!$C$45:$G$45,AR$9))</f>
        <v/>
      </c>
      <c r="AS75" s="45">
        <f>AS59*(1-INDEX('الافتراضات'!$C$45:$G$45,AS$9))</f>
        <v/>
      </c>
      <c r="AT75" s="45">
        <f>AT59*(1-INDEX('الافتراضات'!$C$45:$G$45,AT$9))</f>
        <v/>
      </c>
      <c r="AU75" s="45">
        <f>AU59*(1-INDEX('الافتراضات'!$C$45:$G$45,AU$9))</f>
        <v/>
      </c>
      <c r="AV75" s="45">
        <f>AV59*(1-INDEX('الافتراضات'!$C$45:$G$45,AV$9))</f>
        <v/>
      </c>
      <c r="AW75" s="45">
        <f>AW59*(1-INDEX('الافتراضات'!$C$45:$G$45,AW$9))</f>
        <v/>
      </c>
      <c r="AX75" s="45">
        <f>AX59*(1-INDEX('الافتراضات'!$C$45:$G$45,AX$9))</f>
        <v/>
      </c>
      <c r="AY75" s="45">
        <f>AY59*(1-INDEX('الافتراضات'!$C$45:$G$45,AY$9))</f>
        <v/>
      </c>
      <c r="AZ75" s="45">
        <f>AZ59*(1-INDEX('الافتراضات'!$C$45:$G$45,AZ$9))</f>
        <v/>
      </c>
      <c r="BA75" s="45">
        <f>BA59*(1-INDEX('الافتراضات'!$C$45:$G$45,BA$9))</f>
        <v/>
      </c>
      <c r="BB75" s="45">
        <f>BB59*(1-INDEX('الافتراضات'!$C$45:$G$45,BB$9))</f>
        <v/>
      </c>
      <c r="BC75" s="45">
        <f>BC59*(1-INDEX('الافتراضات'!$C$45:$G$45,BC$9))</f>
        <v/>
      </c>
      <c r="BD75" s="45">
        <f>BD59*(1-INDEX('الافتراضات'!$C$45:$G$45,BD$9))</f>
        <v/>
      </c>
      <c r="BE75" s="45">
        <f>BE59*(1-INDEX('الافتراضات'!$C$45:$G$45,BE$9))</f>
        <v/>
      </c>
      <c r="BF75" s="45">
        <f>BF59*(1-INDEX('الافتراضات'!$C$45:$G$45,BF$9))</f>
        <v/>
      </c>
      <c r="BG75" s="45">
        <f>BG59*(1-INDEX('الافتراضات'!$C$45:$G$45,BG$9))</f>
        <v/>
      </c>
      <c r="BH75" s="45">
        <f>BH59*(1-INDEX('الافتراضات'!$C$45:$G$45,BH$9))</f>
        <v/>
      </c>
      <c r="BI75" s="45">
        <f>BI59*(1-INDEX('الافتراضات'!$C$45:$G$45,BI$9))</f>
        <v/>
      </c>
      <c r="BJ75" s="45">
        <f>BJ59*(1-INDEX('الافتراضات'!$C$45:$G$45,BJ$9))</f>
        <v/>
      </c>
      <c r="BK75" s="45">
        <f>BK59*(1-INDEX('الافتراضات'!$C$45:$G$45,BK$9))</f>
        <v/>
      </c>
      <c r="BL75" s="45">
        <f>BL59*(1-INDEX('الافتراضات'!$C$45:$G$45,BL$9))</f>
        <v/>
      </c>
      <c r="BM75" s="45">
        <f>BM59*(1-INDEX('الافتراضات'!$C$45:$G$45,BM$9))</f>
        <v/>
      </c>
    </row>
    <row r="76">
      <c r="A76" s="48" t="inlineStr">
        <is>
          <t>مجمل الربح</t>
        </is>
      </c>
      <c r="B76" s="49" t="inlineStr">
        <is>
          <t>ج.م</t>
        </is>
      </c>
      <c r="C76" s="50">
        <f>C74-C75</f>
        <v/>
      </c>
      <c r="D76" s="50">
        <f>D74-D75</f>
        <v/>
      </c>
      <c r="E76" s="50">
        <f>E74-E75</f>
        <v/>
      </c>
      <c r="F76" s="50">
        <f>F74-F75</f>
        <v/>
      </c>
      <c r="G76" s="50">
        <f>G74-G75</f>
        <v/>
      </c>
      <c r="H76" s="50">
        <f>H74-H75</f>
        <v/>
      </c>
      <c r="I76" s="50">
        <f>I74-I75</f>
        <v/>
      </c>
      <c r="J76" s="50">
        <f>J74-J75</f>
        <v/>
      </c>
      <c r="K76" s="50">
        <f>K74-K75</f>
        <v/>
      </c>
      <c r="L76" s="50">
        <f>L74-L75</f>
        <v/>
      </c>
      <c r="M76" s="50">
        <f>M74-M75</f>
        <v/>
      </c>
      <c r="N76" s="50">
        <f>N74-N75</f>
        <v/>
      </c>
      <c r="O76" s="50">
        <f>O74-O75</f>
        <v/>
      </c>
      <c r="P76" s="50">
        <f>P74-P75</f>
        <v/>
      </c>
      <c r="Q76" s="50">
        <f>Q74-Q75</f>
        <v/>
      </c>
      <c r="R76" s="50">
        <f>R74-R75</f>
        <v/>
      </c>
      <c r="S76" s="50">
        <f>S74-S75</f>
        <v/>
      </c>
      <c r="T76" s="50">
        <f>T74-T75</f>
        <v/>
      </c>
      <c r="U76" s="50">
        <f>U74-U75</f>
        <v/>
      </c>
      <c r="V76" s="50">
        <f>V74-V75</f>
        <v/>
      </c>
      <c r="W76" s="50">
        <f>W74-W75</f>
        <v/>
      </c>
      <c r="X76" s="50">
        <f>X74-X75</f>
        <v/>
      </c>
      <c r="Y76" s="50">
        <f>Y74-Y75</f>
        <v/>
      </c>
      <c r="Z76" s="50">
        <f>Z74-Z75</f>
        <v/>
      </c>
      <c r="AA76" s="50">
        <f>AA74-AA75</f>
        <v/>
      </c>
      <c r="AB76" s="50">
        <f>AB74-AB75</f>
        <v/>
      </c>
      <c r="AC76" s="50">
        <f>AC74-AC75</f>
        <v/>
      </c>
      <c r="AD76" s="50">
        <f>AD74-AD75</f>
        <v/>
      </c>
      <c r="AE76" s="50">
        <f>AE74-AE75</f>
        <v/>
      </c>
      <c r="AF76" s="50">
        <f>AF74-AF75</f>
        <v/>
      </c>
      <c r="AG76" s="50">
        <f>AG74-AG75</f>
        <v/>
      </c>
      <c r="AH76" s="50">
        <f>AH74-AH75</f>
        <v/>
      </c>
      <c r="AI76" s="50">
        <f>AI74-AI75</f>
        <v/>
      </c>
      <c r="AJ76" s="50">
        <f>AJ74-AJ75</f>
        <v/>
      </c>
      <c r="AK76" s="50">
        <f>AK74-AK75</f>
        <v/>
      </c>
      <c r="AL76" s="50">
        <f>AL74-AL75</f>
        <v/>
      </c>
      <c r="AM76" s="50">
        <f>AM74-AM75</f>
        <v/>
      </c>
      <c r="AN76" s="50">
        <f>AN74-AN75</f>
        <v/>
      </c>
      <c r="AO76" s="50">
        <f>AO74-AO75</f>
        <v/>
      </c>
      <c r="AP76" s="50">
        <f>AP74-AP75</f>
        <v/>
      </c>
      <c r="AQ76" s="50">
        <f>AQ74-AQ75</f>
        <v/>
      </c>
      <c r="AR76" s="50">
        <f>AR74-AR75</f>
        <v/>
      </c>
      <c r="AS76" s="50">
        <f>AS74-AS75</f>
        <v/>
      </c>
      <c r="AT76" s="50">
        <f>AT74-AT75</f>
        <v/>
      </c>
      <c r="AU76" s="50">
        <f>AU74-AU75</f>
        <v/>
      </c>
      <c r="AV76" s="50">
        <f>AV74-AV75</f>
        <v/>
      </c>
      <c r="AW76" s="50">
        <f>AW74-AW75</f>
        <v/>
      </c>
      <c r="AX76" s="50">
        <f>AX74-AX75</f>
        <v/>
      </c>
      <c r="AY76" s="50">
        <f>AY74-AY75</f>
        <v/>
      </c>
      <c r="AZ76" s="50">
        <f>AZ74-AZ75</f>
        <v/>
      </c>
      <c r="BA76" s="50">
        <f>BA74-BA75</f>
        <v/>
      </c>
      <c r="BB76" s="50">
        <f>BB74-BB75</f>
        <v/>
      </c>
      <c r="BC76" s="50">
        <f>BC74-BC75</f>
        <v/>
      </c>
      <c r="BD76" s="50">
        <f>BD74-BD75</f>
        <v/>
      </c>
      <c r="BE76" s="50">
        <f>BE74-BE75</f>
        <v/>
      </c>
      <c r="BF76" s="50">
        <f>BF74-BF75</f>
        <v/>
      </c>
      <c r="BG76" s="50">
        <f>BG74-BG75</f>
        <v/>
      </c>
      <c r="BH76" s="50">
        <f>BH74-BH75</f>
        <v/>
      </c>
      <c r="BI76" s="50">
        <f>BI74-BI75</f>
        <v/>
      </c>
      <c r="BJ76" s="50">
        <f>BJ74-BJ75</f>
        <v/>
      </c>
      <c r="BK76" s="50">
        <f>BK74-BK75</f>
        <v/>
      </c>
      <c r="BL76" s="50">
        <f>BL74-BL75</f>
        <v/>
      </c>
      <c r="BM76" s="50">
        <f>BM74-BM75</f>
        <v/>
      </c>
    </row>
    <row r="77">
      <c r="A77" s="4" t="inlineStr">
        <is>
          <t xml:space="preserve">   منها هامش المنتجات</t>
        </is>
      </c>
      <c r="B77" s="22" t="inlineStr">
        <is>
          <t>ج.م</t>
        </is>
      </c>
      <c r="C77" s="45">
        <f>C64-C75</f>
        <v/>
      </c>
      <c r="D77" s="45">
        <f>D64-D75</f>
        <v/>
      </c>
      <c r="E77" s="45">
        <f>E64-E75</f>
        <v/>
      </c>
      <c r="F77" s="45">
        <f>F64-F75</f>
        <v/>
      </c>
      <c r="G77" s="45">
        <f>G64-G75</f>
        <v/>
      </c>
      <c r="H77" s="45">
        <f>H64-H75</f>
        <v/>
      </c>
      <c r="I77" s="45">
        <f>I64-I75</f>
        <v/>
      </c>
      <c r="J77" s="45">
        <f>J64-J75</f>
        <v/>
      </c>
      <c r="K77" s="45">
        <f>K64-K75</f>
        <v/>
      </c>
      <c r="L77" s="45">
        <f>L64-L75</f>
        <v/>
      </c>
      <c r="M77" s="45">
        <f>M64-M75</f>
        <v/>
      </c>
      <c r="N77" s="45">
        <f>N64-N75</f>
        <v/>
      </c>
      <c r="O77" s="45">
        <f>O64-O75</f>
        <v/>
      </c>
      <c r="P77" s="45">
        <f>P64-P75</f>
        <v/>
      </c>
      <c r="Q77" s="45">
        <f>Q64-Q75</f>
        <v/>
      </c>
      <c r="R77" s="45">
        <f>R64-R75</f>
        <v/>
      </c>
      <c r="S77" s="45">
        <f>S64-S75</f>
        <v/>
      </c>
      <c r="T77" s="45">
        <f>T64-T75</f>
        <v/>
      </c>
      <c r="U77" s="45">
        <f>U64-U75</f>
        <v/>
      </c>
      <c r="V77" s="45">
        <f>V64-V75</f>
        <v/>
      </c>
      <c r="W77" s="45">
        <f>W64-W75</f>
        <v/>
      </c>
      <c r="X77" s="45">
        <f>X64-X75</f>
        <v/>
      </c>
      <c r="Y77" s="45">
        <f>Y64-Y75</f>
        <v/>
      </c>
      <c r="Z77" s="45">
        <f>Z64-Z75</f>
        <v/>
      </c>
      <c r="AA77" s="45">
        <f>AA64-AA75</f>
        <v/>
      </c>
      <c r="AB77" s="45">
        <f>AB64-AB75</f>
        <v/>
      </c>
      <c r="AC77" s="45">
        <f>AC64-AC75</f>
        <v/>
      </c>
      <c r="AD77" s="45">
        <f>AD64-AD75</f>
        <v/>
      </c>
      <c r="AE77" s="45">
        <f>AE64-AE75</f>
        <v/>
      </c>
      <c r="AF77" s="45">
        <f>AF64-AF75</f>
        <v/>
      </c>
      <c r="AG77" s="45">
        <f>AG64-AG75</f>
        <v/>
      </c>
      <c r="AH77" s="45">
        <f>AH64-AH75</f>
        <v/>
      </c>
      <c r="AI77" s="45">
        <f>AI64-AI75</f>
        <v/>
      </c>
      <c r="AJ77" s="45">
        <f>AJ64-AJ75</f>
        <v/>
      </c>
      <c r="AK77" s="45">
        <f>AK64-AK75</f>
        <v/>
      </c>
      <c r="AL77" s="45">
        <f>AL64-AL75</f>
        <v/>
      </c>
      <c r="AM77" s="45">
        <f>AM64-AM75</f>
        <v/>
      </c>
      <c r="AN77" s="45">
        <f>AN64-AN75</f>
        <v/>
      </c>
      <c r="AO77" s="45">
        <f>AO64-AO75</f>
        <v/>
      </c>
      <c r="AP77" s="45">
        <f>AP64-AP75</f>
        <v/>
      </c>
      <c r="AQ77" s="45">
        <f>AQ64-AQ75</f>
        <v/>
      </c>
      <c r="AR77" s="45">
        <f>AR64-AR75</f>
        <v/>
      </c>
      <c r="AS77" s="45">
        <f>AS64-AS75</f>
        <v/>
      </c>
      <c r="AT77" s="45">
        <f>AT64-AT75</f>
        <v/>
      </c>
      <c r="AU77" s="45">
        <f>AU64-AU75</f>
        <v/>
      </c>
      <c r="AV77" s="45">
        <f>AV64-AV75</f>
        <v/>
      </c>
      <c r="AW77" s="45">
        <f>AW64-AW75</f>
        <v/>
      </c>
      <c r="AX77" s="45">
        <f>AX64-AX75</f>
        <v/>
      </c>
      <c r="AY77" s="45">
        <f>AY64-AY75</f>
        <v/>
      </c>
      <c r="AZ77" s="45">
        <f>AZ64-AZ75</f>
        <v/>
      </c>
      <c r="BA77" s="45">
        <f>BA64-BA75</f>
        <v/>
      </c>
      <c r="BB77" s="45">
        <f>BB64-BB75</f>
        <v/>
      </c>
      <c r="BC77" s="45">
        <f>BC64-BC75</f>
        <v/>
      </c>
      <c r="BD77" s="45">
        <f>BD64-BD75</f>
        <v/>
      </c>
      <c r="BE77" s="45">
        <f>BE64-BE75</f>
        <v/>
      </c>
      <c r="BF77" s="45">
        <f>BF64-BF75</f>
        <v/>
      </c>
      <c r="BG77" s="45">
        <f>BG64-BG75</f>
        <v/>
      </c>
      <c r="BH77" s="45">
        <f>BH64-BH75</f>
        <v/>
      </c>
      <c r="BI77" s="45">
        <f>BI64-BI75</f>
        <v/>
      </c>
      <c r="BJ77" s="45">
        <f>BJ64-BJ75</f>
        <v/>
      </c>
      <c r="BK77" s="45">
        <f>BK64-BK75</f>
        <v/>
      </c>
      <c r="BL77" s="45">
        <f>BL64-BL75</f>
        <v/>
      </c>
      <c r="BM77" s="45">
        <f>BM64-BM75</f>
        <v/>
      </c>
    </row>
    <row r="78"/>
    <row r="79">
      <c r="A79" s="40" t="inlineStr">
        <is>
          <t>التكاليف المتغيرة</t>
        </is>
      </c>
      <c r="B79" s="41" t="n"/>
      <c r="C79" s="41" t="n"/>
      <c r="D79" s="41" t="n"/>
      <c r="E79" s="41" t="n"/>
      <c r="F79" s="41" t="n"/>
      <c r="G79" s="41" t="n"/>
      <c r="H79" s="41" t="n"/>
      <c r="I79" s="41" t="n"/>
      <c r="J79" s="41" t="n"/>
      <c r="K79" s="41" t="n"/>
      <c r="L79" s="41" t="n"/>
      <c r="M79" s="41" t="n"/>
      <c r="N79" s="41" t="n"/>
      <c r="O79" s="41" t="n"/>
      <c r="P79" s="41" t="n"/>
      <c r="Q79" s="41" t="n"/>
      <c r="R79" s="41" t="n"/>
      <c r="S79" s="41" t="n"/>
      <c r="T79" s="41" t="n"/>
      <c r="U79" s="41" t="n"/>
      <c r="V79" s="41" t="n"/>
      <c r="W79" s="41" t="n"/>
      <c r="X79" s="41" t="n"/>
      <c r="Y79" s="41" t="n"/>
      <c r="Z79" s="41" t="n"/>
      <c r="AA79" s="41" t="n"/>
      <c r="AB79" s="41" t="n"/>
      <c r="AC79" s="41" t="n"/>
      <c r="AD79" s="41" t="n"/>
      <c r="AE79" s="41" t="n"/>
      <c r="AF79" s="41" t="n"/>
      <c r="AG79" s="41" t="n"/>
      <c r="AH79" s="41" t="n"/>
      <c r="AI79" s="41" t="n"/>
      <c r="AJ79" s="41" t="n"/>
      <c r="AK79" s="41" t="n"/>
      <c r="AL79" s="41" t="n"/>
      <c r="AM79" s="41" t="n"/>
      <c r="AN79" s="41" t="n"/>
      <c r="AO79" s="41" t="n"/>
      <c r="AP79" s="41" t="n"/>
      <c r="AQ79" s="41" t="n"/>
      <c r="AR79" s="41" t="n"/>
      <c r="AS79" s="41" t="n"/>
      <c r="AT79" s="41" t="n"/>
      <c r="AU79" s="41" t="n"/>
      <c r="AV79" s="41" t="n"/>
      <c r="AW79" s="41" t="n"/>
      <c r="AX79" s="41" t="n"/>
      <c r="AY79" s="41" t="n"/>
      <c r="AZ79" s="41" t="n"/>
      <c r="BA79" s="41" t="n"/>
      <c r="BB79" s="41" t="n"/>
      <c r="BC79" s="41" t="n"/>
      <c r="BD79" s="41" t="n"/>
      <c r="BE79" s="41" t="n"/>
      <c r="BF79" s="41" t="n"/>
      <c r="BG79" s="41" t="n"/>
      <c r="BH79" s="41" t="n"/>
      <c r="BI79" s="41" t="n"/>
      <c r="BJ79" s="41" t="n"/>
      <c r="BK79" s="41" t="n"/>
      <c r="BL79" s="41" t="n"/>
      <c r="BM79" s="41" t="n"/>
    </row>
    <row r="80">
      <c r="A80" s="4" t="inlineStr">
        <is>
          <t>التوصيلات (للعملاء + التوصيل كخدمة)</t>
        </is>
      </c>
      <c r="B80" s="22" t="inlineStr">
        <is>
          <t>#</t>
        </is>
      </c>
      <c r="C80" s="45">
        <f>C54*INDEX('الافتراضات'!$C$63:$G$63,C$9)+C56</f>
        <v/>
      </c>
      <c r="D80" s="45">
        <f>D54*INDEX('الافتراضات'!$C$63:$G$63,D$9)+D56</f>
        <v/>
      </c>
      <c r="E80" s="45">
        <f>E54*INDEX('الافتراضات'!$C$63:$G$63,E$9)+E56</f>
        <v/>
      </c>
      <c r="F80" s="45">
        <f>F54*INDEX('الافتراضات'!$C$63:$G$63,F$9)+F56</f>
        <v/>
      </c>
      <c r="G80" s="45">
        <f>G54*INDEX('الافتراضات'!$C$63:$G$63,G$9)+G56</f>
        <v/>
      </c>
      <c r="H80" s="45">
        <f>H54*INDEX('الافتراضات'!$C$63:$G$63,H$9)+H56</f>
        <v/>
      </c>
      <c r="I80" s="45">
        <f>I54*INDEX('الافتراضات'!$C$63:$G$63,I$9)+I56</f>
        <v/>
      </c>
      <c r="J80" s="45">
        <f>J54*INDEX('الافتراضات'!$C$63:$G$63,J$9)+J56</f>
        <v/>
      </c>
      <c r="K80" s="45">
        <f>K54*INDEX('الافتراضات'!$C$63:$G$63,K$9)+K56</f>
        <v/>
      </c>
      <c r="L80" s="45">
        <f>L54*INDEX('الافتراضات'!$C$63:$G$63,L$9)+L56</f>
        <v/>
      </c>
      <c r="M80" s="45">
        <f>M54*INDEX('الافتراضات'!$C$63:$G$63,M$9)+M56</f>
        <v/>
      </c>
      <c r="N80" s="45">
        <f>N54*INDEX('الافتراضات'!$C$63:$G$63,N$9)+N56</f>
        <v/>
      </c>
      <c r="O80" s="45">
        <f>O54*INDEX('الافتراضات'!$C$63:$G$63,O$9)+O56</f>
        <v/>
      </c>
      <c r="P80" s="45">
        <f>P54*INDEX('الافتراضات'!$C$63:$G$63,P$9)+P56</f>
        <v/>
      </c>
      <c r="Q80" s="45">
        <f>Q54*INDEX('الافتراضات'!$C$63:$G$63,Q$9)+Q56</f>
        <v/>
      </c>
      <c r="R80" s="45">
        <f>R54*INDEX('الافتراضات'!$C$63:$G$63,R$9)+R56</f>
        <v/>
      </c>
      <c r="S80" s="45">
        <f>S54*INDEX('الافتراضات'!$C$63:$G$63,S$9)+S56</f>
        <v/>
      </c>
      <c r="T80" s="45">
        <f>T54*INDEX('الافتراضات'!$C$63:$G$63,T$9)+T56</f>
        <v/>
      </c>
      <c r="U80" s="45">
        <f>U54*INDEX('الافتراضات'!$C$63:$G$63,U$9)+U56</f>
        <v/>
      </c>
      <c r="V80" s="45">
        <f>V54*INDEX('الافتراضات'!$C$63:$G$63,V$9)+V56</f>
        <v/>
      </c>
      <c r="W80" s="45">
        <f>W54*INDEX('الافتراضات'!$C$63:$G$63,W$9)+W56</f>
        <v/>
      </c>
      <c r="X80" s="45">
        <f>X54*INDEX('الافتراضات'!$C$63:$G$63,X$9)+X56</f>
        <v/>
      </c>
      <c r="Y80" s="45">
        <f>Y54*INDEX('الافتراضات'!$C$63:$G$63,Y$9)+Y56</f>
        <v/>
      </c>
      <c r="Z80" s="45">
        <f>Z54*INDEX('الافتراضات'!$C$63:$G$63,Z$9)+Z56</f>
        <v/>
      </c>
      <c r="AA80" s="45">
        <f>AA54*INDEX('الافتراضات'!$C$63:$G$63,AA$9)+AA56</f>
        <v/>
      </c>
      <c r="AB80" s="45">
        <f>AB54*INDEX('الافتراضات'!$C$63:$G$63,AB$9)+AB56</f>
        <v/>
      </c>
      <c r="AC80" s="45">
        <f>AC54*INDEX('الافتراضات'!$C$63:$G$63,AC$9)+AC56</f>
        <v/>
      </c>
      <c r="AD80" s="45">
        <f>AD54*INDEX('الافتراضات'!$C$63:$G$63,AD$9)+AD56</f>
        <v/>
      </c>
      <c r="AE80" s="45">
        <f>AE54*INDEX('الافتراضات'!$C$63:$G$63,AE$9)+AE56</f>
        <v/>
      </c>
      <c r="AF80" s="45">
        <f>AF54*INDEX('الافتراضات'!$C$63:$G$63,AF$9)+AF56</f>
        <v/>
      </c>
      <c r="AG80" s="45">
        <f>AG54*INDEX('الافتراضات'!$C$63:$G$63,AG$9)+AG56</f>
        <v/>
      </c>
      <c r="AH80" s="45">
        <f>AH54*INDEX('الافتراضات'!$C$63:$G$63,AH$9)+AH56</f>
        <v/>
      </c>
      <c r="AI80" s="45">
        <f>AI54*INDEX('الافتراضات'!$C$63:$G$63,AI$9)+AI56</f>
        <v/>
      </c>
      <c r="AJ80" s="45">
        <f>AJ54*INDEX('الافتراضات'!$C$63:$G$63,AJ$9)+AJ56</f>
        <v/>
      </c>
      <c r="AK80" s="45">
        <f>AK54*INDEX('الافتراضات'!$C$63:$G$63,AK$9)+AK56</f>
        <v/>
      </c>
      <c r="AL80" s="45">
        <f>AL54*INDEX('الافتراضات'!$C$63:$G$63,AL$9)+AL56</f>
        <v/>
      </c>
      <c r="AM80" s="45">
        <f>AM54*INDEX('الافتراضات'!$C$63:$G$63,AM$9)+AM56</f>
        <v/>
      </c>
      <c r="AN80" s="45">
        <f>AN54*INDEX('الافتراضات'!$C$63:$G$63,AN$9)+AN56</f>
        <v/>
      </c>
      <c r="AO80" s="45">
        <f>AO54*INDEX('الافتراضات'!$C$63:$G$63,AO$9)+AO56</f>
        <v/>
      </c>
      <c r="AP80" s="45">
        <f>AP54*INDEX('الافتراضات'!$C$63:$G$63,AP$9)+AP56</f>
        <v/>
      </c>
      <c r="AQ80" s="45">
        <f>AQ54*INDEX('الافتراضات'!$C$63:$G$63,AQ$9)+AQ56</f>
        <v/>
      </c>
      <c r="AR80" s="45">
        <f>AR54*INDEX('الافتراضات'!$C$63:$G$63,AR$9)+AR56</f>
        <v/>
      </c>
      <c r="AS80" s="45">
        <f>AS54*INDEX('الافتراضات'!$C$63:$G$63,AS$9)+AS56</f>
        <v/>
      </c>
      <c r="AT80" s="45">
        <f>AT54*INDEX('الافتراضات'!$C$63:$G$63,AT$9)+AT56</f>
        <v/>
      </c>
      <c r="AU80" s="45">
        <f>AU54*INDEX('الافتراضات'!$C$63:$G$63,AU$9)+AU56</f>
        <v/>
      </c>
      <c r="AV80" s="45">
        <f>AV54*INDEX('الافتراضات'!$C$63:$G$63,AV$9)+AV56</f>
        <v/>
      </c>
      <c r="AW80" s="45">
        <f>AW54*INDEX('الافتراضات'!$C$63:$G$63,AW$9)+AW56</f>
        <v/>
      </c>
      <c r="AX80" s="45">
        <f>AX54*INDEX('الافتراضات'!$C$63:$G$63,AX$9)+AX56</f>
        <v/>
      </c>
      <c r="AY80" s="45">
        <f>AY54*INDEX('الافتراضات'!$C$63:$G$63,AY$9)+AY56</f>
        <v/>
      </c>
      <c r="AZ80" s="45">
        <f>AZ54*INDEX('الافتراضات'!$C$63:$G$63,AZ$9)+AZ56</f>
        <v/>
      </c>
      <c r="BA80" s="45">
        <f>BA54*INDEX('الافتراضات'!$C$63:$G$63,BA$9)+BA56</f>
        <v/>
      </c>
      <c r="BB80" s="45">
        <f>BB54*INDEX('الافتراضات'!$C$63:$G$63,BB$9)+BB56</f>
        <v/>
      </c>
      <c r="BC80" s="45">
        <f>BC54*INDEX('الافتراضات'!$C$63:$G$63,BC$9)+BC56</f>
        <v/>
      </c>
      <c r="BD80" s="45">
        <f>BD54*INDEX('الافتراضات'!$C$63:$G$63,BD$9)+BD56</f>
        <v/>
      </c>
      <c r="BE80" s="45">
        <f>BE54*INDEX('الافتراضات'!$C$63:$G$63,BE$9)+BE56</f>
        <v/>
      </c>
      <c r="BF80" s="45">
        <f>BF54*INDEX('الافتراضات'!$C$63:$G$63,BF$9)+BF56</f>
        <v/>
      </c>
      <c r="BG80" s="45">
        <f>BG54*INDEX('الافتراضات'!$C$63:$G$63,BG$9)+BG56</f>
        <v/>
      </c>
      <c r="BH80" s="45">
        <f>BH54*INDEX('الافتراضات'!$C$63:$G$63,BH$9)+BH56</f>
        <v/>
      </c>
      <c r="BI80" s="45">
        <f>BI54*INDEX('الافتراضات'!$C$63:$G$63,BI$9)+BI56</f>
        <v/>
      </c>
      <c r="BJ80" s="45">
        <f>BJ54*INDEX('الافتراضات'!$C$63:$G$63,BJ$9)+BJ56</f>
        <v/>
      </c>
      <c r="BK80" s="45">
        <f>BK54*INDEX('الافتراضات'!$C$63:$G$63,BK$9)+BK56</f>
        <v/>
      </c>
      <c r="BL80" s="45">
        <f>BL54*INDEX('الافتراضات'!$C$63:$G$63,BL$9)+BL56</f>
        <v/>
      </c>
      <c r="BM80" s="45">
        <f>BM54*INDEX('الافتراضات'!$C$63:$G$63,BM$9)+BM56</f>
        <v/>
      </c>
    </row>
    <row r="81">
      <c r="A81" s="4" t="inlineStr">
        <is>
          <t>تكلفة المندوب</t>
        </is>
      </c>
      <c r="B81" s="22" t="inlineStr">
        <is>
          <t>ج.م</t>
        </is>
      </c>
      <c r="C81" s="45">
        <f>C80*INDEX('الافتراضات'!$C$62:$G$62,C$9)</f>
        <v/>
      </c>
      <c r="D81" s="45">
        <f>D80*INDEX('الافتراضات'!$C$62:$G$62,D$9)</f>
        <v/>
      </c>
      <c r="E81" s="45">
        <f>E80*INDEX('الافتراضات'!$C$62:$G$62,E$9)</f>
        <v/>
      </c>
      <c r="F81" s="45">
        <f>F80*INDEX('الافتراضات'!$C$62:$G$62,F$9)</f>
        <v/>
      </c>
      <c r="G81" s="45">
        <f>G80*INDEX('الافتراضات'!$C$62:$G$62,G$9)</f>
        <v/>
      </c>
      <c r="H81" s="45">
        <f>H80*INDEX('الافتراضات'!$C$62:$G$62,H$9)</f>
        <v/>
      </c>
      <c r="I81" s="45">
        <f>I80*INDEX('الافتراضات'!$C$62:$G$62,I$9)</f>
        <v/>
      </c>
      <c r="J81" s="45">
        <f>J80*INDEX('الافتراضات'!$C$62:$G$62,J$9)</f>
        <v/>
      </c>
      <c r="K81" s="45">
        <f>K80*INDEX('الافتراضات'!$C$62:$G$62,K$9)</f>
        <v/>
      </c>
      <c r="L81" s="45">
        <f>L80*INDEX('الافتراضات'!$C$62:$G$62,L$9)</f>
        <v/>
      </c>
      <c r="M81" s="45">
        <f>M80*INDEX('الافتراضات'!$C$62:$G$62,M$9)</f>
        <v/>
      </c>
      <c r="N81" s="45">
        <f>N80*INDEX('الافتراضات'!$C$62:$G$62,N$9)</f>
        <v/>
      </c>
      <c r="O81" s="45">
        <f>O80*INDEX('الافتراضات'!$C$62:$G$62,O$9)</f>
        <v/>
      </c>
      <c r="P81" s="45">
        <f>P80*INDEX('الافتراضات'!$C$62:$G$62,P$9)</f>
        <v/>
      </c>
      <c r="Q81" s="45">
        <f>Q80*INDEX('الافتراضات'!$C$62:$G$62,Q$9)</f>
        <v/>
      </c>
      <c r="R81" s="45">
        <f>R80*INDEX('الافتراضات'!$C$62:$G$62,R$9)</f>
        <v/>
      </c>
      <c r="S81" s="45">
        <f>S80*INDEX('الافتراضات'!$C$62:$G$62,S$9)</f>
        <v/>
      </c>
      <c r="T81" s="45">
        <f>T80*INDEX('الافتراضات'!$C$62:$G$62,T$9)</f>
        <v/>
      </c>
      <c r="U81" s="45">
        <f>U80*INDEX('الافتراضات'!$C$62:$G$62,U$9)</f>
        <v/>
      </c>
      <c r="V81" s="45">
        <f>V80*INDEX('الافتراضات'!$C$62:$G$62,V$9)</f>
        <v/>
      </c>
      <c r="W81" s="45">
        <f>W80*INDEX('الافتراضات'!$C$62:$G$62,W$9)</f>
        <v/>
      </c>
      <c r="X81" s="45">
        <f>X80*INDEX('الافتراضات'!$C$62:$G$62,X$9)</f>
        <v/>
      </c>
      <c r="Y81" s="45">
        <f>Y80*INDEX('الافتراضات'!$C$62:$G$62,Y$9)</f>
        <v/>
      </c>
      <c r="Z81" s="45">
        <f>Z80*INDEX('الافتراضات'!$C$62:$G$62,Z$9)</f>
        <v/>
      </c>
      <c r="AA81" s="45">
        <f>AA80*INDEX('الافتراضات'!$C$62:$G$62,AA$9)</f>
        <v/>
      </c>
      <c r="AB81" s="45">
        <f>AB80*INDEX('الافتراضات'!$C$62:$G$62,AB$9)</f>
        <v/>
      </c>
      <c r="AC81" s="45">
        <f>AC80*INDEX('الافتراضات'!$C$62:$G$62,AC$9)</f>
        <v/>
      </c>
      <c r="AD81" s="45">
        <f>AD80*INDEX('الافتراضات'!$C$62:$G$62,AD$9)</f>
        <v/>
      </c>
      <c r="AE81" s="45">
        <f>AE80*INDEX('الافتراضات'!$C$62:$G$62,AE$9)</f>
        <v/>
      </c>
      <c r="AF81" s="45">
        <f>AF80*INDEX('الافتراضات'!$C$62:$G$62,AF$9)</f>
        <v/>
      </c>
      <c r="AG81" s="45">
        <f>AG80*INDEX('الافتراضات'!$C$62:$G$62,AG$9)</f>
        <v/>
      </c>
      <c r="AH81" s="45">
        <f>AH80*INDEX('الافتراضات'!$C$62:$G$62,AH$9)</f>
        <v/>
      </c>
      <c r="AI81" s="45">
        <f>AI80*INDEX('الافتراضات'!$C$62:$G$62,AI$9)</f>
        <v/>
      </c>
      <c r="AJ81" s="45">
        <f>AJ80*INDEX('الافتراضات'!$C$62:$G$62,AJ$9)</f>
        <v/>
      </c>
      <c r="AK81" s="45">
        <f>AK80*INDEX('الافتراضات'!$C$62:$G$62,AK$9)</f>
        <v/>
      </c>
      <c r="AL81" s="45">
        <f>AL80*INDEX('الافتراضات'!$C$62:$G$62,AL$9)</f>
        <v/>
      </c>
      <c r="AM81" s="45">
        <f>AM80*INDEX('الافتراضات'!$C$62:$G$62,AM$9)</f>
        <v/>
      </c>
      <c r="AN81" s="45">
        <f>AN80*INDEX('الافتراضات'!$C$62:$G$62,AN$9)</f>
        <v/>
      </c>
      <c r="AO81" s="45">
        <f>AO80*INDEX('الافتراضات'!$C$62:$G$62,AO$9)</f>
        <v/>
      </c>
      <c r="AP81" s="45">
        <f>AP80*INDEX('الافتراضات'!$C$62:$G$62,AP$9)</f>
        <v/>
      </c>
      <c r="AQ81" s="45">
        <f>AQ80*INDEX('الافتراضات'!$C$62:$G$62,AQ$9)</f>
        <v/>
      </c>
      <c r="AR81" s="45">
        <f>AR80*INDEX('الافتراضات'!$C$62:$G$62,AR$9)</f>
        <v/>
      </c>
      <c r="AS81" s="45">
        <f>AS80*INDEX('الافتراضات'!$C$62:$G$62,AS$9)</f>
        <v/>
      </c>
      <c r="AT81" s="45">
        <f>AT80*INDEX('الافتراضات'!$C$62:$G$62,AT$9)</f>
        <v/>
      </c>
      <c r="AU81" s="45">
        <f>AU80*INDEX('الافتراضات'!$C$62:$G$62,AU$9)</f>
        <v/>
      </c>
      <c r="AV81" s="45">
        <f>AV80*INDEX('الافتراضات'!$C$62:$G$62,AV$9)</f>
        <v/>
      </c>
      <c r="AW81" s="45">
        <f>AW80*INDEX('الافتراضات'!$C$62:$G$62,AW$9)</f>
        <v/>
      </c>
      <c r="AX81" s="45">
        <f>AX80*INDEX('الافتراضات'!$C$62:$G$62,AX$9)</f>
        <v/>
      </c>
      <c r="AY81" s="45">
        <f>AY80*INDEX('الافتراضات'!$C$62:$G$62,AY$9)</f>
        <v/>
      </c>
      <c r="AZ81" s="45">
        <f>AZ80*INDEX('الافتراضات'!$C$62:$G$62,AZ$9)</f>
        <v/>
      </c>
      <c r="BA81" s="45">
        <f>BA80*INDEX('الافتراضات'!$C$62:$G$62,BA$9)</f>
        <v/>
      </c>
      <c r="BB81" s="45">
        <f>BB80*INDEX('الافتراضات'!$C$62:$G$62,BB$9)</f>
        <v/>
      </c>
      <c r="BC81" s="45">
        <f>BC80*INDEX('الافتراضات'!$C$62:$G$62,BC$9)</f>
        <v/>
      </c>
      <c r="BD81" s="45">
        <f>BD80*INDEX('الافتراضات'!$C$62:$G$62,BD$9)</f>
        <v/>
      </c>
      <c r="BE81" s="45">
        <f>BE80*INDEX('الافتراضات'!$C$62:$G$62,BE$9)</f>
        <v/>
      </c>
      <c r="BF81" s="45">
        <f>BF80*INDEX('الافتراضات'!$C$62:$G$62,BF$9)</f>
        <v/>
      </c>
      <c r="BG81" s="45">
        <f>BG80*INDEX('الافتراضات'!$C$62:$G$62,BG$9)</f>
        <v/>
      </c>
      <c r="BH81" s="45">
        <f>BH80*INDEX('الافتراضات'!$C$62:$G$62,BH$9)</f>
        <v/>
      </c>
      <c r="BI81" s="45">
        <f>BI80*INDEX('الافتراضات'!$C$62:$G$62,BI$9)</f>
        <v/>
      </c>
      <c r="BJ81" s="45">
        <f>BJ80*INDEX('الافتراضات'!$C$62:$G$62,BJ$9)</f>
        <v/>
      </c>
      <c r="BK81" s="45">
        <f>BK80*INDEX('الافتراضات'!$C$62:$G$62,BK$9)</f>
        <v/>
      </c>
      <c r="BL81" s="45">
        <f>BL80*INDEX('الافتراضات'!$C$62:$G$62,BL$9)</f>
        <v/>
      </c>
      <c r="BM81" s="45">
        <f>BM80*INDEX('الافتراضات'!$C$62:$G$62,BM$9)</f>
        <v/>
      </c>
    </row>
    <row r="82">
      <c r="A82" s="4" t="inlineStr">
        <is>
          <t>عمالة التجميع والتغليف</t>
        </is>
      </c>
      <c r="B82" s="22" t="inlineStr">
        <is>
          <t>ج.م</t>
        </is>
      </c>
      <c r="C82" s="45">
        <f>C54*INDEX('الافتراضات'!$C$38:$G$38,C$9)*INDEX('الافتراضات'!$C$64:$G$64,C$9)</f>
        <v/>
      </c>
      <c r="D82" s="45">
        <f>D54*INDEX('الافتراضات'!$C$38:$G$38,D$9)*INDEX('الافتراضات'!$C$64:$G$64,D$9)</f>
        <v/>
      </c>
      <c r="E82" s="45">
        <f>E54*INDEX('الافتراضات'!$C$38:$G$38,E$9)*INDEX('الافتراضات'!$C$64:$G$64,E$9)</f>
        <v/>
      </c>
      <c r="F82" s="45">
        <f>F54*INDEX('الافتراضات'!$C$38:$G$38,F$9)*INDEX('الافتراضات'!$C$64:$G$64,F$9)</f>
        <v/>
      </c>
      <c r="G82" s="45">
        <f>G54*INDEX('الافتراضات'!$C$38:$G$38,G$9)*INDEX('الافتراضات'!$C$64:$G$64,G$9)</f>
        <v/>
      </c>
      <c r="H82" s="45">
        <f>H54*INDEX('الافتراضات'!$C$38:$G$38,H$9)*INDEX('الافتراضات'!$C$64:$G$64,H$9)</f>
        <v/>
      </c>
      <c r="I82" s="45">
        <f>I54*INDEX('الافتراضات'!$C$38:$G$38,I$9)*INDEX('الافتراضات'!$C$64:$G$64,I$9)</f>
        <v/>
      </c>
      <c r="J82" s="45">
        <f>J54*INDEX('الافتراضات'!$C$38:$G$38,J$9)*INDEX('الافتراضات'!$C$64:$G$64,J$9)</f>
        <v/>
      </c>
      <c r="K82" s="45">
        <f>K54*INDEX('الافتراضات'!$C$38:$G$38,K$9)*INDEX('الافتراضات'!$C$64:$G$64,K$9)</f>
        <v/>
      </c>
      <c r="L82" s="45">
        <f>L54*INDEX('الافتراضات'!$C$38:$G$38,L$9)*INDEX('الافتراضات'!$C$64:$G$64,L$9)</f>
        <v/>
      </c>
      <c r="M82" s="45">
        <f>M54*INDEX('الافتراضات'!$C$38:$G$38,M$9)*INDEX('الافتراضات'!$C$64:$G$64,M$9)</f>
        <v/>
      </c>
      <c r="N82" s="45">
        <f>N54*INDEX('الافتراضات'!$C$38:$G$38,N$9)*INDEX('الافتراضات'!$C$64:$G$64,N$9)</f>
        <v/>
      </c>
      <c r="O82" s="45">
        <f>O54*INDEX('الافتراضات'!$C$38:$G$38,O$9)*INDEX('الافتراضات'!$C$64:$G$64,O$9)</f>
        <v/>
      </c>
      <c r="P82" s="45">
        <f>P54*INDEX('الافتراضات'!$C$38:$G$38,P$9)*INDEX('الافتراضات'!$C$64:$G$64,P$9)</f>
        <v/>
      </c>
      <c r="Q82" s="45">
        <f>Q54*INDEX('الافتراضات'!$C$38:$G$38,Q$9)*INDEX('الافتراضات'!$C$64:$G$64,Q$9)</f>
        <v/>
      </c>
      <c r="R82" s="45">
        <f>R54*INDEX('الافتراضات'!$C$38:$G$38,R$9)*INDEX('الافتراضات'!$C$64:$G$64,R$9)</f>
        <v/>
      </c>
      <c r="S82" s="45">
        <f>S54*INDEX('الافتراضات'!$C$38:$G$38,S$9)*INDEX('الافتراضات'!$C$64:$G$64,S$9)</f>
        <v/>
      </c>
      <c r="T82" s="45">
        <f>T54*INDEX('الافتراضات'!$C$38:$G$38,T$9)*INDEX('الافتراضات'!$C$64:$G$64,T$9)</f>
        <v/>
      </c>
      <c r="U82" s="45">
        <f>U54*INDEX('الافتراضات'!$C$38:$G$38,U$9)*INDEX('الافتراضات'!$C$64:$G$64,U$9)</f>
        <v/>
      </c>
      <c r="V82" s="45">
        <f>V54*INDEX('الافتراضات'!$C$38:$G$38,V$9)*INDEX('الافتراضات'!$C$64:$G$64,V$9)</f>
        <v/>
      </c>
      <c r="W82" s="45">
        <f>W54*INDEX('الافتراضات'!$C$38:$G$38,W$9)*INDEX('الافتراضات'!$C$64:$G$64,W$9)</f>
        <v/>
      </c>
      <c r="X82" s="45">
        <f>X54*INDEX('الافتراضات'!$C$38:$G$38,X$9)*INDEX('الافتراضات'!$C$64:$G$64,X$9)</f>
        <v/>
      </c>
      <c r="Y82" s="45">
        <f>Y54*INDEX('الافتراضات'!$C$38:$G$38,Y$9)*INDEX('الافتراضات'!$C$64:$G$64,Y$9)</f>
        <v/>
      </c>
      <c r="Z82" s="45">
        <f>Z54*INDEX('الافتراضات'!$C$38:$G$38,Z$9)*INDEX('الافتراضات'!$C$64:$G$64,Z$9)</f>
        <v/>
      </c>
      <c r="AA82" s="45">
        <f>AA54*INDEX('الافتراضات'!$C$38:$G$38,AA$9)*INDEX('الافتراضات'!$C$64:$G$64,AA$9)</f>
        <v/>
      </c>
      <c r="AB82" s="45">
        <f>AB54*INDEX('الافتراضات'!$C$38:$G$38,AB$9)*INDEX('الافتراضات'!$C$64:$G$64,AB$9)</f>
        <v/>
      </c>
      <c r="AC82" s="45">
        <f>AC54*INDEX('الافتراضات'!$C$38:$G$38,AC$9)*INDEX('الافتراضات'!$C$64:$G$64,AC$9)</f>
        <v/>
      </c>
      <c r="AD82" s="45">
        <f>AD54*INDEX('الافتراضات'!$C$38:$G$38,AD$9)*INDEX('الافتراضات'!$C$64:$G$64,AD$9)</f>
        <v/>
      </c>
      <c r="AE82" s="45">
        <f>AE54*INDEX('الافتراضات'!$C$38:$G$38,AE$9)*INDEX('الافتراضات'!$C$64:$G$64,AE$9)</f>
        <v/>
      </c>
      <c r="AF82" s="45">
        <f>AF54*INDEX('الافتراضات'!$C$38:$G$38,AF$9)*INDEX('الافتراضات'!$C$64:$G$64,AF$9)</f>
        <v/>
      </c>
      <c r="AG82" s="45">
        <f>AG54*INDEX('الافتراضات'!$C$38:$G$38,AG$9)*INDEX('الافتراضات'!$C$64:$G$64,AG$9)</f>
        <v/>
      </c>
      <c r="AH82" s="45">
        <f>AH54*INDEX('الافتراضات'!$C$38:$G$38,AH$9)*INDEX('الافتراضات'!$C$64:$G$64,AH$9)</f>
        <v/>
      </c>
      <c r="AI82" s="45">
        <f>AI54*INDEX('الافتراضات'!$C$38:$G$38,AI$9)*INDEX('الافتراضات'!$C$64:$G$64,AI$9)</f>
        <v/>
      </c>
      <c r="AJ82" s="45">
        <f>AJ54*INDEX('الافتراضات'!$C$38:$G$38,AJ$9)*INDEX('الافتراضات'!$C$64:$G$64,AJ$9)</f>
        <v/>
      </c>
      <c r="AK82" s="45">
        <f>AK54*INDEX('الافتراضات'!$C$38:$G$38,AK$9)*INDEX('الافتراضات'!$C$64:$G$64,AK$9)</f>
        <v/>
      </c>
      <c r="AL82" s="45">
        <f>AL54*INDEX('الافتراضات'!$C$38:$G$38,AL$9)*INDEX('الافتراضات'!$C$64:$G$64,AL$9)</f>
        <v/>
      </c>
      <c r="AM82" s="45">
        <f>AM54*INDEX('الافتراضات'!$C$38:$G$38,AM$9)*INDEX('الافتراضات'!$C$64:$G$64,AM$9)</f>
        <v/>
      </c>
      <c r="AN82" s="45">
        <f>AN54*INDEX('الافتراضات'!$C$38:$G$38,AN$9)*INDEX('الافتراضات'!$C$64:$G$64,AN$9)</f>
        <v/>
      </c>
      <c r="AO82" s="45">
        <f>AO54*INDEX('الافتراضات'!$C$38:$G$38,AO$9)*INDEX('الافتراضات'!$C$64:$G$64,AO$9)</f>
        <v/>
      </c>
      <c r="AP82" s="45">
        <f>AP54*INDEX('الافتراضات'!$C$38:$G$38,AP$9)*INDEX('الافتراضات'!$C$64:$G$64,AP$9)</f>
        <v/>
      </c>
      <c r="AQ82" s="45">
        <f>AQ54*INDEX('الافتراضات'!$C$38:$G$38,AQ$9)*INDEX('الافتراضات'!$C$64:$G$64,AQ$9)</f>
        <v/>
      </c>
      <c r="AR82" s="45">
        <f>AR54*INDEX('الافتراضات'!$C$38:$G$38,AR$9)*INDEX('الافتراضات'!$C$64:$G$64,AR$9)</f>
        <v/>
      </c>
      <c r="AS82" s="45">
        <f>AS54*INDEX('الافتراضات'!$C$38:$G$38,AS$9)*INDEX('الافتراضات'!$C$64:$G$64,AS$9)</f>
        <v/>
      </c>
      <c r="AT82" s="45">
        <f>AT54*INDEX('الافتراضات'!$C$38:$G$38,AT$9)*INDEX('الافتراضات'!$C$64:$G$64,AT$9)</f>
        <v/>
      </c>
      <c r="AU82" s="45">
        <f>AU54*INDEX('الافتراضات'!$C$38:$G$38,AU$9)*INDEX('الافتراضات'!$C$64:$G$64,AU$9)</f>
        <v/>
      </c>
      <c r="AV82" s="45">
        <f>AV54*INDEX('الافتراضات'!$C$38:$G$38,AV$9)*INDEX('الافتراضات'!$C$64:$G$64,AV$9)</f>
        <v/>
      </c>
      <c r="AW82" s="45">
        <f>AW54*INDEX('الافتراضات'!$C$38:$G$38,AW$9)*INDEX('الافتراضات'!$C$64:$G$64,AW$9)</f>
        <v/>
      </c>
      <c r="AX82" s="45">
        <f>AX54*INDEX('الافتراضات'!$C$38:$G$38,AX$9)*INDEX('الافتراضات'!$C$64:$G$64,AX$9)</f>
        <v/>
      </c>
      <c r="AY82" s="45">
        <f>AY54*INDEX('الافتراضات'!$C$38:$G$38,AY$9)*INDEX('الافتراضات'!$C$64:$G$64,AY$9)</f>
        <v/>
      </c>
      <c r="AZ82" s="45">
        <f>AZ54*INDEX('الافتراضات'!$C$38:$G$38,AZ$9)*INDEX('الافتراضات'!$C$64:$G$64,AZ$9)</f>
        <v/>
      </c>
      <c r="BA82" s="45">
        <f>BA54*INDEX('الافتراضات'!$C$38:$G$38,BA$9)*INDEX('الافتراضات'!$C$64:$G$64,BA$9)</f>
        <v/>
      </c>
      <c r="BB82" s="45">
        <f>BB54*INDEX('الافتراضات'!$C$38:$G$38,BB$9)*INDEX('الافتراضات'!$C$64:$G$64,BB$9)</f>
        <v/>
      </c>
      <c r="BC82" s="45">
        <f>BC54*INDEX('الافتراضات'!$C$38:$G$38,BC$9)*INDEX('الافتراضات'!$C$64:$G$64,BC$9)</f>
        <v/>
      </c>
      <c r="BD82" s="45">
        <f>BD54*INDEX('الافتراضات'!$C$38:$G$38,BD$9)*INDEX('الافتراضات'!$C$64:$G$64,BD$9)</f>
        <v/>
      </c>
      <c r="BE82" s="45">
        <f>BE54*INDEX('الافتراضات'!$C$38:$G$38,BE$9)*INDEX('الافتراضات'!$C$64:$G$64,BE$9)</f>
        <v/>
      </c>
      <c r="BF82" s="45">
        <f>BF54*INDEX('الافتراضات'!$C$38:$G$38,BF$9)*INDEX('الافتراضات'!$C$64:$G$64,BF$9)</f>
        <v/>
      </c>
      <c r="BG82" s="45">
        <f>BG54*INDEX('الافتراضات'!$C$38:$G$38,BG$9)*INDEX('الافتراضات'!$C$64:$G$64,BG$9)</f>
        <v/>
      </c>
      <c r="BH82" s="45">
        <f>BH54*INDEX('الافتراضات'!$C$38:$G$38,BH$9)*INDEX('الافتراضات'!$C$64:$G$64,BH$9)</f>
        <v/>
      </c>
      <c r="BI82" s="45">
        <f>BI54*INDEX('الافتراضات'!$C$38:$G$38,BI$9)*INDEX('الافتراضات'!$C$64:$G$64,BI$9)</f>
        <v/>
      </c>
      <c r="BJ82" s="45">
        <f>BJ54*INDEX('الافتراضات'!$C$38:$G$38,BJ$9)*INDEX('الافتراضات'!$C$64:$G$64,BJ$9)</f>
        <v/>
      </c>
      <c r="BK82" s="45">
        <f>BK54*INDEX('الافتراضات'!$C$38:$G$38,BK$9)*INDEX('الافتراضات'!$C$64:$G$64,BK$9)</f>
        <v/>
      </c>
      <c r="BL82" s="45">
        <f>BL54*INDEX('الافتراضات'!$C$38:$G$38,BL$9)*INDEX('الافتراضات'!$C$64:$G$64,BL$9)</f>
        <v/>
      </c>
      <c r="BM82" s="45">
        <f>BM54*INDEX('الافتراضات'!$C$38:$G$38,BM$9)*INDEX('الافتراضات'!$C$64:$G$64,BM$9)</f>
        <v/>
      </c>
    </row>
    <row r="83">
      <c r="A83" s="4" t="inlineStr">
        <is>
          <t>التغليف</t>
        </is>
      </c>
      <c r="B83" s="22" t="inlineStr">
        <is>
          <t>ج.م</t>
        </is>
      </c>
      <c r="C83" s="45">
        <f>C54*INDEX('الافتراضات'!$C$65:$G$65,C$9)</f>
        <v/>
      </c>
      <c r="D83" s="45">
        <f>D54*INDEX('الافتراضات'!$C$65:$G$65,D$9)</f>
        <v/>
      </c>
      <c r="E83" s="45">
        <f>E54*INDEX('الافتراضات'!$C$65:$G$65,E$9)</f>
        <v/>
      </c>
      <c r="F83" s="45">
        <f>F54*INDEX('الافتراضات'!$C$65:$G$65,F$9)</f>
        <v/>
      </c>
      <c r="G83" s="45">
        <f>G54*INDEX('الافتراضات'!$C$65:$G$65,G$9)</f>
        <v/>
      </c>
      <c r="H83" s="45">
        <f>H54*INDEX('الافتراضات'!$C$65:$G$65,H$9)</f>
        <v/>
      </c>
      <c r="I83" s="45">
        <f>I54*INDEX('الافتراضات'!$C$65:$G$65,I$9)</f>
        <v/>
      </c>
      <c r="J83" s="45">
        <f>J54*INDEX('الافتراضات'!$C$65:$G$65,J$9)</f>
        <v/>
      </c>
      <c r="K83" s="45">
        <f>K54*INDEX('الافتراضات'!$C$65:$G$65,K$9)</f>
        <v/>
      </c>
      <c r="L83" s="45">
        <f>L54*INDEX('الافتراضات'!$C$65:$G$65,L$9)</f>
        <v/>
      </c>
      <c r="M83" s="45">
        <f>M54*INDEX('الافتراضات'!$C$65:$G$65,M$9)</f>
        <v/>
      </c>
      <c r="N83" s="45">
        <f>N54*INDEX('الافتراضات'!$C$65:$G$65,N$9)</f>
        <v/>
      </c>
      <c r="O83" s="45">
        <f>O54*INDEX('الافتراضات'!$C$65:$G$65,O$9)</f>
        <v/>
      </c>
      <c r="P83" s="45">
        <f>P54*INDEX('الافتراضات'!$C$65:$G$65,P$9)</f>
        <v/>
      </c>
      <c r="Q83" s="45">
        <f>Q54*INDEX('الافتراضات'!$C$65:$G$65,Q$9)</f>
        <v/>
      </c>
      <c r="R83" s="45">
        <f>R54*INDEX('الافتراضات'!$C$65:$G$65,R$9)</f>
        <v/>
      </c>
      <c r="S83" s="45">
        <f>S54*INDEX('الافتراضات'!$C$65:$G$65,S$9)</f>
        <v/>
      </c>
      <c r="T83" s="45">
        <f>T54*INDEX('الافتراضات'!$C$65:$G$65,T$9)</f>
        <v/>
      </c>
      <c r="U83" s="45">
        <f>U54*INDEX('الافتراضات'!$C$65:$G$65,U$9)</f>
        <v/>
      </c>
      <c r="V83" s="45">
        <f>V54*INDEX('الافتراضات'!$C$65:$G$65,V$9)</f>
        <v/>
      </c>
      <c r="W83" s="45">
        <f>W54*INDEX('الافتراضات'!$C$65:$G$65,W$9)</f>
        <v/>
      </c>
      <c r="X83" s="45">
        <f>X54*INDEX('الافتراضات'!$C$65:$G$65,X$9)</f>
        <v/>
      </c>
      <c r="Y83" s="45">
        <f>Y54*INDEX('الافتراضات'!$C$65:$G$65,Y$9)</f>
        <v/>
      </c>
      <c r="Z83" s="45">
        <f>Z54*INDEX('الافتراضات'!$C$65:$G$65,Z$9)</f>
        <v/>
      </c>
      <c r="AA83" s="45">
        <f>AA54*INDEX('الافتراضات'!$C$65:$G$65,AA$9)</f>
        <v/>
      </c>
      <c r="AB83" s="45">
        <f>AB54*INDEX('الافتراضات'!$C$65:$G$65,AB$9)</f>
        <v/>
      </c>
      <c r="AC83" s="45">
        <f>AC54*INDEX('الافتراضات'!$C$65:$G$65,AC$9)</f>
        <v/>
      </c>
      <c r="AD83" s="45">
        <f>AD54*INDEX('الافتراضات'!$C$65:$G$65,AD$9)</f>
        <v/>
      </c>
      <c r="AE83" s="45">
        <f>AE54*INDEX('الافتراضات'!$C$65:$G$65,AE$9)</f>
        <v/>
      </c>
      <c r="AF83" s="45">
        <f>AF54*INDEX('الافتراضات'!$C$65:$G$65,AF$9)</f>
        <v/>
      </c>
      <c r="AG83" s="45">
        <f>AG54*INDEX('الافتراضات'!$C$65:$G$65,AG$9)</f>
        <v/>
      </c>
      <c r="AH83" s="45">
        <f>AH54*INDEX('الافتراضات'!$C$65:$G$65,AH$9)</f>
        <v/>
      </c>
      <c r="AI83" s="45">
        <f>AI54*INDEX('الافتراضات'!$C$65:$G$65,AI$9)</f>
        <v/>
      </c>
      <c r="AJ83" s="45">
        <f>AJ54*INDEX('الافتراضات'!$C$65:$G$65,AJ$9)</f>
        <v/>
      </c>
      <c r="AK83" s="45">
        <f>AK54*INDEX('الافتراضات'!$C$65:$G$65,AK$9)</f>
        <v/>
      </c>
      <c r="AL83" s="45">
        <f>AL54*INDEX('الافتراضات'!$C$65:$G$65,AL$9)</f>
        <v/>
      </c>
      <c r="AM83" s="45">
        <f>AM54*INDEX('الافتراضات'!$C$65:$G$65,AM$9)</f>
        <v/>
      </c>
      <c r="AN83" s="45">
        <f>AN54*INDEX('الافتراضات'!$C$65:$G$65,AN$9)</f>
        <v/>
      </c>
      <c r="AO83" s="45">
        <f>AO54*INDEX('الافتراضات'!$C$65:$G$65,AO$9)</f>
        <v/>
      </c>
      <c r="AP83" s="45">
        <f>AP54*INDEX('الافتراضات'!$C$65:$G$65,AP$9)</f>
        <v/>
      </c>
      <c r="AQ83" s="45">
        <f>AQ54*INDEX('الافتراضات'!$C$65:$G$65,AQ$9)</f>
        <v/>
      </c>
      <c r="AR83" s="45">
        <f>AR54*INDEX('الافتراضات'!$C$65:$G$65,AR$9)</f>
        <v/>
      </c>
      <c r="AS83" s="45">
        <f>AS54*INDEX('الافتراضات'!$C$65:$G$65,AS$9)</f>
        <v/>
      </c>
      <c r="AT83" s="45">
        <f>AT54*INDEX('الافتراضات'!$C$65:$G$65,AT$9)</f>
        <v/>
      </c>
      <c r="AU83" s="45">
        <f>AU54*INDEX('الافتراضات'!$C$65:$G$65,AU$9)</f>
        <v/>
      </c>
      <c r="AV83" s="45">
        <f>AV54*INDEX('الافتراضات'!$C$65:$G$65,AV$9)</f>
        <v/>
      </c>
      <c r="AW83" s="45">
        <f>AW54*INDEX('الافتراضات'!$C$65:$G$65,AW$9)</f>
        <v/>
      </c>
      <c r="AX83" s="45">
        <f>AX54*INDEX('الافتراضات'!$C$65:$G$65,AX$9)</f>
        <v/>
      </c>
      <c r="AY83" s="45">
        <f>AY54*INDEX('الافتراضات'!$C$65:$G$65,AY$9)</f>
        <v/>
      </c>
      <c r="AZ83" s="45">
        <f>AZ54*INDEX('الافتراضات'!$C$65:$G$65,AZ$9)</f>
        <v/>
      </c>
      <c r="BA83" s="45">
        <f>BA54*INDEX('الافتراضات'!$C$65:$G$65,BA$9)</f>
        <v/>
      </c>
      <c r="BB83" s="45">
        <f>BB54*INDEX('الافتراضات'!$C$65:$G$65,BB$9)</f>
        <v/>
      </c>
      <c r="BC83" s="45">
        <f>BC54*INDEX('الافتراضات'!$C$65:$G$65,BC$9)</f>
        <v/>
      </c>
      <c r="BD83" s="45">
        <f>BD54*INDEX('الافتراضات'!$C$65:$G$65,BD$9)</f>
        <v/>
      </c>
      <c r="BE83" s="45">
        <f>BE54*INDEX('الافتراضات'!$C$65:$G$65,BE$9)</f>
        <v/>
      </c>
      <c r="BF83" s="45">
        <f>BF54*INDEX('الافتراضات'!$C$65:$G$65,BF$9)</f>
        <v/>
      </c>
      <c r="BG83" s="45">
        <f>BG54*INDEX('الافتراضات'!$C$65:$G$65,BG$9)</f>
        <v/>
      </c>
      <c r="BH83" s="45">
        <f>BH54*INDEX('الافتراضات'!$C$65:$G$65,BH$9)</f>
        <v/>
      </c>
      <c r="BI83" s="45">
        <f>BI54*INDEX('الافتراضات'!$C$65:$G$65,BI$9)</f>
        <v/>
      </c>
      <c r="BJ83" s="45">
        <f>BJ54*INDEX('الافتراضات'!$C$65:$G$65,BJ$9)</f>
        <v/>
      </c>
      <c r="BK83" s="45">
        <f>BK54*INDEX('الافتراضات'!$C$65:$G$65,BK$9)</f>
        <v/>
      </c>
      <c r="BL83" s="45">
        <f>BL54*INDEX('الافتراضات'!$C$65:$G$65,BL$9)</f>
        <v/>
      </c>
      <c r="BM83" s="45">
        <f>BM54*INDEX('الافتراضات'!$C$65:$G$65,BM$9)</f>
        <v/>
      </c>
    </row>
    <row r="84">
      <c r="A84" s="4" t="inlineStr">
        <is>
          <t>رسوم بوابة الدفع</t>
        </is>
      </c>
      <c r="B84" s="22" t="inlineStr">
        <is>
          <t>ج.م</t>
        </is>
      </c>
      <c r="C84" s="45">
        <f>C58*INDEX('الافتراضات'!$C$66:$G$66,C$9)*'الافتراضات'!$C$67</f>
        <v/>
      </c>
      <c r="D84" s="45">
        <f>D58*INDEX('الافتراضات'!$C$66:$G$66,D$9)*'الافتراضات'!$C$67</f>
        <v/>
      </c>
      <c r="E84" s="45">
        <f>E58*INDEX('الافتراضات'!$C$66:$G$66,E$9)*'الافتراضات'!$C$67</f>
        <v/>
      </c>
      <c r="F84" s="45">
        <f>F58*INDEX('الافتراضات'!$C$66:$G$66,F$9)*'الافتراضات'!$C$67</f>
        <v/>
      </c>
      <c r="G84" s="45">
        <f>G58*INDEX('الافتراضات'!$C$66:$G$66,G$9)*'الافتراضات'!$C$67</f>
        <v/>
      </c>
      <c r="H84" s="45">
        <f>H58*INDEX('الافتراضات'!$C$66:$G$66,H$9)*'الافتراضات'!$C$67</f>
        <v/>
      </c>
      <c r="I84" s="45">
        <f>I58*INDEX('الافتراضات'!$C$66:$G$66,I$9)*'الافتراضات'!$C$67</f>
        <v/>
      </c>
      <c r="J84" s="45">
        <f>J58*INDEX('الافتراضات'!$C$66:$G$66,J$9)*'الافتراضات'!$C$67</f>
        <v/>
      </c>
      <c r="K84" s="45">
        <f>K58*INDEX('الافتراضات'!$C$66:$G$66,K$9)*'الافتراضات'!$C$67</f>
        <v/>
      </c>
      <c r="L84" s="45">
        <f>L58*INDEX('الافتراضات'!$C$66:$G$66,L$9)*'الافتراضات'!$C$67</f>
        <v/>
      </c>
      <c r="M84" s="45">
        <f>M58*INDEX('الافتراضات'!$C$66:$G$66,M$9)*'الافتراضات'!$C$67</f>
        <v/>
      </c>
      <c r="N84" s="45">
        <f>N58*INDEX('الافتراضات'!$C$66:$G$66,N$9)*'الافتراضات'!$C$67</f>
        <v/>
      </c>
      <c r="O84" s="45">
        <f>O58*INDEX('الافتراضات'!$C$66:$G$66,O$9)*'الافتراضات'!$C$67</f>
        <v/>
      </c>
      <c r="P84" s="45">
        <f>P58*INDEX('الافتراضات'!$C$66:$G$66,P$9)*'الافتراضات'!$C$67</f>
        <v/>
      </c>
      <c r="Q84" s="45">
        <f>Q58*INDEX('الافتراضات'!$C$66:$G$66,Q$9)*'الافتراضات'!$C$67</f>
        <v/>
      </c>
      <c r="R84" s="45">
        <f>R58*INDEX('الافتراضات'!$C$66:$G$66,R$9)*'الافتراضات'!$C$67</f>
        <v/>
      </c>
      <c r="S84" s="45">
        <f>S58*INDEX('الافتراضات'!$C$66:$G$66,S$9)*'الافتراضات'!$C$67</f>
        <v/>
      </c>
      <c r="T84" s="45">
        <f>T58*INDEX('الافتراضات'!$C$66:$G$66,T$9)*'الافتراضات'!$C$67</f>
        <v/>
      </c>
      <c r="U84" s="45">
        <f>U58*INDEX('الافتراضات'!$C$66:$G$66,U$9)*'الافتراضات'!$C$67</f>
        <v/>
      </c>
      <c r="V84" s="45">
        <f>V58*INDEX('الافتراضات'!$C$66:$G$66,V$9)*'الافتراضات'!$C$67</f>
        <v/>
      </c>
      <c r="W84" s="45">
        <f>W58*INDEX('الافتراضات'!$C$66:$G$66,W$9)*'الافتراضات'!$C$67</f>
        <v/>
      </c>
      <c r="X84" s="45">
        <f>X58*INDEX('الافتراضات'!$C$66:$G$66,X$9)*'الافتراضات'!$C$67</f>
        <v/>
      </c>
      <c r="Y84" s="45">
        <f>Y58*INDEX('الافتراضات'!$C$66:$G$66,Y$9)*'الافتراضات'!$C$67</f>
        <v/>
      </c>
      <c r="Z84" s="45">
        <f>Z58*INDEX('الافتراضات'!$C$66:$G$66,Z$9)*'الافتراضات'!$C$67</f>
        <v/>
      </c>
      <c r="AA84" s="45">
        <f>AA58*INDEX('الافتراضات'!$C$66:$G$66,AA$9)*'الافتراضات'!$C$67</f>
        <v/>
      </c>
      <c r="AB84" s="45">
        <f>AB58*INDEX('الافتراضات'!$C$66:$G$66,AB$9)*'الافتراضات'!$C$67</f>
        <v/>
      </c>
      <c r="AC84" s="45">
        <f>AC58*INDEX('الافتراضات'!$C$66:$G$66,AC$9)*'الافتراضات'!$C$67</f>
        <v/>
      </c>
      <c r="AD84" s="45">
        <f>AD58*INDEX('الافتراضات'!$C$66:$G$66,AD$9)*'الافتراضات'!$C$67</f>
        <v/>
      </c>
      <c r="AE84" s="45">
        <f>AE58*INDEX('الافتراضات'!$C$66:$G$66,AE$9)*'الافتراضات'!$C$67</f>
        <v/>
      </c>
      <c r="AF84" s="45">
        <f>AF58*INDEX('الافتراضات'!$C$66:$G$66,AF$9)*'الافتراضات'!$C$67</f>
        <v/>
      </c>
      <c r="AG84" s="45">
        <f>AG58*INDEX('الافتراضات'!$C$66:$G$66,AG$9)*'الافتراضات'!$C$67</f>
        <v/>
      </c>
      <c r="AH84" s="45">
        <f>AH58*INDEX('الافتراضات'!$C$66:$G$66,AH$9)*'الافتراضات'!$C$67</f>
        <v/>
      </c>
      <c r="AI84" s="45">
        <f>AI58*INDEX('الافتراضات'!$C$66:$G$66,AI$9)*'الافتراضات'!$C$67</f>
        <v/>
      </c>
      <c r="AJ84" s="45">
        <f>AJ58*INDEX('الافتراضات'!$C$66:$G$66,AJ$9)*'الافتراضات'!$C$67</f>
        <v/>
      </c>
      <c r="AK84" s="45">
        <f>AK58*INDEX('الافتراضات'!$C$66:$G$66,AK$9)*'الافتراضات'!$C$67</f>
        <v/>
      </c>
      <c r="AL84" s="45">
        <f>AL58*INDEX('الافتراضات'!$C$66:$G$66,AL$9)*'الافتراضات'!$C$67</f>
        <v/>
      </c>
      <c r="AM84" s="45">
        <f>AM58*INDEX('الافتراضات'!$C$66:$G$66,AM$9)*'الافتراضات'!$C$67</f>
        <v/>
      </c>
      <c r="AN84" s="45">
        <f>AN58*INDEX('الافتراضات'!$C$66:$G$66,AN$9)*'الافتراضات'!$C$67</f>
        <v/>
      </c>
      <c r="AO84" s="45">
        <f>AO58*INDEX('الافتراضات'!$C$66:$G$66,AO$9)*'الافتراضات'!$C$67</f>
        <v/>
      </c>
      <c r="AP84" s="45">
        <f>AP58*INDEX('الافتراضات'!$C$66:$G$66,AP$9)*'الافتراضات'!$C$67</f>
        <v/>
      </c>
      <c r="AQ84" s="45">
        <f>AQ58*INDEX('الافتراضات'!$C$66:$G$66,AQ$9)*'الافتراضات'!$C$67</f>
        <v/>
      </c>
      <c r="AR84" s="45">
        <f>AR58*INDEX('الافتراضات'!$C$66:$G$66,AR$9)*'الافتراضات'!$C$67</f>
        <v/>
      </c>
      <c r="AS84" s="45">
        <f>AS58*INDEX('الافتراضات'!$C$66:$G$66,AS$9)*'الافتراضات'!$C$67</f>
        <v/>
      </c>
      <c r="AT84" s="45">
        <f>AT58*INDEX('الافتراضات'!$C$66:$G$66,AT$9)*'الافتراضات'!$C$67</f>
        <v/>
      </c>
      <c r="AU84" s="45">
        <f>AU58*INDEX('الافتراضات'!$C$66:$G$66,AU$9)*'الافتراضات'!$C$67</f>
        <v/>
      </c>
      <c r="AV84" s="45">
        <f>AV58*INDEX('الافتراضات'!$C$66:$G$66,AV$9)*'الافتراضات'!$C$67</f>
        <v/>
      </c>
      <c r="AW84" s="45">
        <f>AW58*INDEX('الافتراضات'!$C$66:$G$66,AW$9)*'الافتراضات'!$C$67</f>
        <v/>
      </c>
      <c r="AX84" s="45">
        <f>AX58*INDEX('الافتراضات'!$C$66:$G$66,AX$9)*'الافتراضات'!$C$67</f>
        <v/>
      </c>
      <c r="AY84" s="45">
        <f>AY58*INDEX('الافتراضات'!$C$66:$G$66,AY$9)*'الافتراضات'!$C$67</f>
        <v/>
      </c>
      <c r="AZ84" s="45">
        <f>AZ58*INDEX('الافتراضات'!$C$66:$G$66,AZ$9)*'الافتراضات'!$C$67</f>
        <v/>
      </c>
      <c r="BA84" s="45">
        <f>BA58*INDEX('الافتراضات'!$C$66:$G$66,BA$9)*'الافتراضات'!$C$67</f>
        <v/>
      </c>
      <c r="BB84" s="45">
        <f>BB58*INDEX('الافتراضات'!$C$66:$G$66,BB$9)*'الافتراضات'!$C$67</f>
        <v/>
      </c>
      <c r="BC84" s="45">
        <f>BC58*INDEX('الافتراضات'!$C$66:$G$66,BC$9)*'الافتراضات'!$C$67</f>
        <v/>
      </c>
      <c r="BD84" s="45">
        <f>BD58*INDEX('الافتراضات'!$C$66:$G$66,BD$9)*'الافتراضات'!$C$67</f>
        <v/>
      </c>
      <c r="BE84" s="45">
        <f>BE58*INDEX('الافتراضات'!$C$66:$G$66,BE$9)*'الافتراضات'!$C$67</f>
        <v/>
      </c>
      <c r="BF84" s="45">
        <f>BF58*INDEX('الافتراضات'!$C$66:$G$66,BF$9)*'الافتراضات'!$C$67</f>
        <v/>
      </c>
      <c r="BG84" s="45">
        <f>BG58*INDEX('الافتراضات'!$C$66:$G$66,BG$9)*'الافتراضات'!$C$67</f>
        <v/>
      </c>
      <c r="BH84" s="45">
        <f>BH58*INDEX('الافتراضات'!$C$66:$G$66,BH$9)*'الافتراضات'!$C$67</f>
        <v/>
      </c>
      <c r="BI84" s="45">
        <f>BI58*INDEX('الافتراضات'!$C$66:$G$66,BI$9)*'الافتراضات'!$C$67</f>
        <v/>
      </c>
      <c r="BJ84" s="45">
        <f>BJ58*INDEX('الافتراضات'!$C$66:$G$66,BJ$9)*'الافتراضات'!$C$67</f>
        <v/>
      </c>
      <c r="BK84" s="45">
        <f>BK58*INDEX('الافتراضات'!$C$66:$G$66,BK$9)*'الافتراضات'!$C$67</f>
        <v/>
      </c>
      <c r="BL84" s="45">
        <f>BL58*INDEX('الافتراضات'!$C$66:$G$66,BL$9)*'الافتراضات'!$C$67</f>
        <v/>
      </c>
      <c r="BM84" s="45">
        <f>BM58*INDEX('الافتراضات'!$C$66:$G$66,BM$9)*'الافتراضات'!$C$67</f>
        <v/>
      </c>
    </row>
    <row r="85">
      <c r="A85" s="4" t="inlineStr">
        <is>
          <t>عروض العملاء</t>
        </is>
      </c>
      <c r="B85" s="22" t="inlineStr">
        <is>
          <t>ج.م</t>
        </is>
      </c>
      <c r="C85" s="45">
        <f>C58*INDEX('الافتراضات'!$C$68:$G$68,C$9)</f>
        <v/>
      </c>
      <c r="D85" s="45">
        <f>D58*INDEX('الافتراضات'!$C$68:$G$68,D$9)</f>
        <v/>
      </c>
      <c r="E85" s="45">
        <f>E58*INDEX('الافتراضات'!$C$68:$G$68,E$9)</f>
        <v/>
      </c>
      <c r="F85" s="45">
        <f>F58*INDEX('الافتراضات'!$C$68:$G$68,F$9)</f>
        <v/>
      </c>
      <c r="G85" s="45">
        <f>G58*INDEX('الافتراضات'!$C$68:$G$68,G$9)</f>
        <v/>
      </c>
      <c r="H85" s="45">
        <f>H58*INDEX('الافتراضات'!$C$68:$G$68,H$9)</f>
        <v/>
      </c>
      <c r="I85" s="45">
        <f>I58*INDEX('الافتراضات'!$C$68:$G$68,I$9)</f>
        <v/>
      </c>
      <c r="J85" s="45">
        <f>J58*INDEX('الافتراضات'!$C$68:$G$68,J$9)</f>
        <v/>
      </c>
      <c r="K85" s="45">
        <f>K58*INDEX('الافتراضات'!$C$68:$G$68,K$9)</f>
        <v/>
      </c>
      <c r="L85" s="45">
        <f>L58*INDEX('الافتراضات'!$C$68:$G$68,L$9)</f>
        <v/>
      </c>
      <c r="M85" s="45">
        <f>M58*INDEX('الافتراضات'!$C$68:$G$68,M$9)</f>
        <v/>
      </c>
      <c r="N85" s="45">
        <f>N58*INDEX('الافتراضات'!$C$68:$G$68,N$9)</f>
        <v/>
      </c>
      <c r="O85" s="45">
        <f>O58*INDEX('الافتراضات'!$C$68:$G$68,O$9)</f>
        <v/>
      </c>
      <c r="P85" s="45">
        <f>P58*INDEX('الافتراضات'!$C$68:$G$68,P$9)</f>
        <v/>
      </c>
      <c r="Q85" s="45">
        <f>Q58*INDEX('الافتراضات'!$C$68:$G$68,Q$9)</f>
        <v/>
      </c>
      <c r="R85" s="45">
        <f>R58*INDEX('الافتراضات'!$C$68:$G$68,R$9)</f>
        <v/>
      </c>
      <c r="S85" s="45">
        <f>S58*INDEX('الافتراضات'!$C$68:$G$68,S$9)</f>
        <v/>
      </c>
      <c r="T85" s="45">
        <f>T58*INDEX('الافتراضات'!$C$68:$G$68,T$9)</f>
        <v/>
      </c>
      <c r="U85" s="45">
        <f>U58*INDEX('الافتراضات'!$C$68:$G$68,U$9)</f>
        <v/>
      </c>
      <c r="V85" s="45">
        <f>V58*INDEX('الافتراضات'!$C$68:$G$68,V$9)</f>
        <v/>
      </c>
      <c r="W85" s="45">
        <f>W58*INDEX('الافتراضات'!$C$68:$G$68,W$9)</f>
        <v/>
      </c>
      <c r="X85" s="45">
        <f>X58*INDEX('الافتراضات'!$C$68:$G$68,X$9)</f>
        <v/>
      </c>
      <c r="Y85" s="45">
        <f>Y58*INDEX('الافتراضات'!$C$68:$G$68,Y$9)</f>
        <v/>
      </c>
      <c r="Z85" s="45">
        <f>Z58*INDEX('الافتراضات'!$C$68:$G$68,Z$9)</f>
        <v/>
      </c>
      <c r="AA85" s="45">
        <f>AA58*INDEX('الافتراضات'!$C$68:$G$68,AA$9)</f>
        <v/>
      </c>
      <c r="AB85" s="45">
        <f>AB58*INDEX('الافتراضات'!$C$68:$G$68,AB$9)</f>
        <v/>
      </c>
      <c r="AC85" s="45">
        <f>AC58*INDEX('الافتراضات'!$C$68:$G$68,AC$9)</f>
        <v/>
      </c>
      <c r="AD85" s="45">
        <f>AD58*INDEX('الافتراضات'!$C$68:$G$68,AD$9)</f>
        <v/>
      </c>
      <c r="AE85" s="45">
        <f>AE58*INDEX('الافتراضات'!$C$68:$G$68,AE$9)</f>
        <v/>
      </c>
      <c r="AF85" s="45">
        <f>AF58*INDEX('الافتراضات'!$C$68:$G$68,AF$9)</f>
        <v/>
      </c>
      <c r="AG85" s="45">
        <f>AG58*INDEX('الافتراضات'!$C$68:$G$68,AG$9)</f>
        <v/>
      </c>
      <c r="AH85" s="45">
        <f>AH58*INDEX('الافتراضات'!$C$68:$G$68,AH$9)</f>
        <v/>
      </c>
      <c r="AI85" s="45">
        <f>AI58*INDEX('الافتراضات'!$C$68:$G$68,AI$9)</f>
        <v/>
      </c>
      <c r="AJ85" s="45">
        <f>AJ58*INDEX('الافتراضات'!$C$68:$G$68,AJ$9)</f>
        <v/>
      </c>
      <c r="AK85" s="45">
        <f>AK58*INDEX('الافتراضات'!$C$68:$G$68,AK$9)</f>
        <v/>
      </c>
      <c r="AL85" s="45">
        <f>AL58*INDEX('الافتراضات'!$C$68:$G$68,AL$9)</f>
        <v/>
      </c>
      <c r="AM85" s="45">
        <f>AM58*INDEX('الافتراضات'!$C$68:$G$68,AM$9)</f>
        <v/>
      </c>
      <c r="AN85" s="45">
        <f>AN58*INDEX('الافتراضات'!$C$68:$G$68,AN$9)</f>
        <v/>
      </c>
      <c r="AO85" s="45">
        <f>AO58*INDEX('الافتراضات'!$C$68:$G$68,AO$9)</f>
        <v/>
      </c>
      <c r="AP85" s="45">
        <f>AP58*INDEX('الافتراضات'!$C$68:$G$68,AP$9)</f>
        <v/>
      </c>
      <c r="AQ85" s="45">
        <f>AQ58*INDEX('الافتراضات'!$C$68:$G$68,AQ$9)</f>
        <v/>
      </c>
      <c r="AR85" s="45">
        <f>AR58*INDEX('الافتراضات'!$C$68:$G$68,AR$9)</f>
        <v/>
      </c>
      <c r="AS85" s="45">
        <f>AS58*INDEX('الافتراضات'!$C$68:$G$68,AS$9)</f>
        <v/>
      </c>
      <c r="AT85" s="45">
        <f>AT58*INDEX('الافتراضات'!$C$68:$G$68,AT$9)</f>
        <v/>
      </c>
      <c r="AU85" s="45">
        <f>AU58*INDEX('الافتراضات'!$C$68:$G$68,AU$9)</f>
        <v/>
      </c>
      <c r="AV85" s="45">
        <f>AV58*INDEX('الافتراضات'!$C$68:$G$68,AV$9)</f>
        <v/>
      </c>
      <c r="AW85" s="45">
        <f>AW58*INDEX('الافتراضات'!$C$68:$G$68,AW$9)</f>
        <v/>
      </c>
      <c r="AX85" s="45">
        <f>AX58*INDEX('الافتراضات'!$C$68:$G$68,AX$9)</f>
        <v/>
      </c>
      <c r="AY85" s="45">
        <f>AY58*INDEX('الافتراضات'!$C$68:$G$68,AY$9)</f>
        <v/>
      </c>
      <c r="AZ85" s="45">
        <f>AZ58*INDEX('الافتراضات'!$C$68:$G$68,AZ$9)</f>
        <v/>
      </c>
      <c r="BA85" s="45">
        <f>BA58*INDEX('الافتراضات'!$C$68:$G$68,BA$9)</f>
        <v/>
      </c>
      <c r="BB85" s="45">
        <f>BB58*INDEX('الافتراضات'!$C$68:$G$68,BB$9)</f>
        <v/>
      </c>
      <c r="BC85" s="45">
        <f>BC58*INDEX('الافتراضات'!$C$68:$G$68,BC$9)</f>
        <v/>
      </c>
      <c r="BD85" s="45">
        <f>BD58*INDEX('الافتراضات'!$C$68:$G$68,BD$9)</f>
        <v/>
      </c>
      <c r="BE85" s="45">
        <f>BE58*INDEX('الافتراضات'!$C$68:$G$68,BE$9)</f>
        <v/>
      </c>
      <c r="BF85" s="45">
        <f>BF58*INDEX('الافتراضات'!$C$68:$G$68,BF$9)</f>
        <v/>
      </c>
      <c r="BG85" s="45">
        <f>BG58*INDEX('الافتراضات'!$C$68:$G$68,BG$9)</f>
        <v/>
      </c>
      <c r="BH85" s="45">
        <f>BH58*INDEX('الافتراضات'!$C$68:$G$68,BH$9)</f>
        <v/>
      </c>
      <c r="BI85" s="45">
        <f>BI58*INDEX('الافتراضات'!$C$68:$G$68,BI$9)</f>
        <v/>
      </c>
      <c r="BJ85" s="45">
        <f>BJ58*INDEX('الافتراضات'!$C$68:$G$68,BJ$9)</f>
        <v/>
      </c>
      <c r="BK85" s="45">
        <f>BK58*INDEX('الافتراضات'!$C$68:$G$68,BK$9)</f>
        <v/>
      </c>
      <c r="BL85" s="45">
        <f>BL58*INDEX('الافتراضات'!$C$68:$G$68,BL$9)</f>
        <v/>
      </c>
      <c r="BM85" s="45">
        <f>BM58*INDEX('الافتراضات'!$C$68:$G$68,BM$9)</f>
        <v/>
      </c>
    </row>
    <row r="86">
      <c r="A86" s="4" t="inlineStr">
        <is>
          <t>الهالك وانتهاء الصلاحية والتلف</t>
        </is>
      </c>
      <c r="B86" s="22" t="inlineStr">
        <is>
          <t>ج.م</t>
        </is>
      </c>
      <c r="C86" s="45">
        <f>C59*INDEX('الافتراضات'!$C$69:$G$69,C$9)</f>
        <v/>
      </c>
      <c r="D86" s="45">
        <f>D59*INDEX('الافتراضات'!$C$69:$G$69,D$9)</f>
        <v/>
      </c>
      <c r="E86" s="45">
        <f>E59*INDEX('الافتراضات'!$C$69:$G$69,E$9)</f>
        <v/>
      </c>
      <c r="F86" s="45">
        <f>F59*INDEX('الافتراضات'!$C$69:$G$69,F$9)</f>
        <v/>
      </c>
      <c r="G86" s="45">
        <f>G59*INDEX('الافتراضات'!$C$69:$G$69,G$9)</f>
        <v/>
      </c>
      <c r="H86" s="45">
        <f>H59*INDEX('الافتراضات'!$C$69:$G$69,H$9)</f>
        <v/>
      </c>
      <c r="I86" s="45">
        <f>I59*INDEX('الافتراضات'!$C$69:$G$69,I$9)</f>
        <v/>
      </c>
      <c r="J86" s="45">
        <f>J59*INDEX('الافتراضات'!$C$69:$G$69,J$9)</f>
        <v/>
      </c>
      <c r="K86" s="45">
        <f>K59*INDEX('الافتراضات'!$C$69:$G$69,K$9)</f>
        <v/>
      </c>
      <c r="L86" s="45">
        <f>L59*INDEX('الافتراضات'!$C$69:$G$69,L$9)</f>
        <v/>
      </c>
      <c r="M86" s="45">
        <f>M59*INDEX('الافتراضات'!$C$69:$G$69,M$9)</f>
        <v/>
      </c>
      <c r="N86" s="45">
        <f>N59*INDEX('الافتراضات'!$C$69:$G$69,N$9)</f>
        <v/>
      </c>
      <c r="O86" s="45">
        <f>O59*INDEX('الافتراضات'!$C$69:$G$69,O$9)</f>
        <v/>
      </c>
      <c r="P86" s="45">
        <f>P59*INDEX('الافتراضات'!$C$69:$G$69,P$9)</f>
        <v/>
      </c>
      <c r="Q86" s="45">
        <f>Q59*INDEX('الافتراضات'!$C$69:$G$69,Q$9)</f>
        <v/>
      </c>
      <c r="R86" s="45">
        <f>R59*INDEX('الافتراضات'!$C$69:$G$69,R$9)</f>
        <v/>
      </c>
      <c r="S86" s="45">
        <f>S59*INDEX('الافتراضات'!$C$69:$G$69,S$9)</f>
        <v/>
      </c>
      <c r="T86" s="45">
        <f>T59*INDEX('الافتراضات'!$C$69:$G$69,T$9)</f>
        <v/>
      </c>
      <c r="U86" s="45">
        <f>U59*INDEX('الافتراضات'!$C$69:$G$69,U$9)</f>
        <v/>
      </c>
      <c r="V86" s="45">
        <f>V59*INDEX('الافتراضات'!$C$69:$G$69,V$9)</f>
        <v/>
      </c>
      <c r="W86" s="45">
        <f>W59*INDEX('الافتراضات'!$C$69:$G$69,W$9)</f>
        <v/>
      </c>
      <c r="X86" s="45">
        <f>X59*INDEX('الافتراضات'!$C$69:$G$69,X$9)</f>
        <v/>
      </c>
      <c r="Y86" s="45">
        <f>Y59*INDEX('الافتراضات'!$C$69:$G$69,Y$9)</f>
        <v/>
      </c>
      <c r="Z86" s="45">
        <f>Z59*INDEX('الافتراضات'!$C$69:$G$69,Z$9)</f>
        <v/>
      </c>
      <c r="AA86" s="45">
        <f>AA59*INDEX('الافتراضات'!$C$69:$G$69,AA$9)</f>
        <v/>
      </c>
      <c r="AB86" s="45">
        <f>AB59*INDEX('الافتراضات'!$C$69:$G$69,AB$9)</f>
        <v/>
      </c>
      <c r="AC86" s="45">
        <f>AC59*INDEX('الافتراضات'!$C$69:$G$69,AC$9)</f>
        <v/>
      </c>
      <c r="AD86" s="45">
        <f>AD59*INDEX('الافتراضات'!$C$69:$G$69,AD$9)</f>
        <v/>
      </c>
      <c r="AE86" s="45">
        <f>AE59*INDEX('الافتراضات'!$C$69:$G$69,AE$9)</f>
        <v/>
      </c>
      <c r="AF86" s="45">
        <f>AF59*INDEX('الافتراضات'!$C$69:$G$69,AF$9)</f>
        <v/>
      </c>
      <c r="AG86" s="45">
        <f>AG59*INDEX('الافتراضات'!$C$69:$G$69,AG$9)</f>
        <v/>
      </c>
      <c r="AH86" s="45">
        <f>AH59*INDEX('الافتراضات'!$C$69:$G$69,AH$9)</f>
        <v/>
      </c>
      <c r="AI86" s="45">
        <f>AI59*INDEX('الافتراضات'!$C$69:$G$69,AI$9)</f>
        <v/>
      </c>
      <c r="AJ86" s="45">
        <f>AJ59*INDEX('الافتراضات'!$C$69:$G$69,AJ$9)</f>
        <v/>
      </c>
      <c r="AK86" s="45">
        <f>AK59*INDEX('الافتراضات'!$C$69:$G$69,AK$9)</f>
        <v/>
      </c>
      <c r="AL86" s="45">
        <f>AL59*INDEX('الافتراضات'!$C$69:$G$69,AL$9)</f>
        <v/>
      </c>
      <c r="AM86" s="45">
        <f>AM59*INDEX('الافتراضات'!$C$69:$G$69,AM$9)</f>
        <v/>
      </c>
      <c r="AN86" s="45">
        <f>AN59*INDEX('الافتراضات'!$C$69:$G$69,AN$9)</f>
        <v/>
      </c>
      <c r="AO86" s="45">
        <f>AO59*INDEX('الافتراضات'!$C$69:$G$69,AO$9)</f>
        <v/>
      </c>
      <c r="AP86" s="45">
        <f>AP59*INDEX('الافتراضات'!$C$69:$G$69,AP$9)</f>
        <v/>
      </c>
      <c r="AQ86" s="45">
        <f>AQ59*INDEX('الافتراضات'!$C$69:$G$69,AQ$9)</f>
        <v/>
      </c>
      <c r="AR86" s="45">
        <f>AR59*INDEX('الافتراضات'!$C$69:$G$69,AR$9)</f>
        <v/>
      </c>
      <c r="AS86" s="45">
        <f>AS59*INDEX('الافتراضات'!$C$69:$G$69,AS$9)</f>
        <v/>
      </c>
      <c r="AT86" s="45">
        <f>AT59*INDEX('الافتراضات'!$C$69:$G$69,AT$9)</f>
        <v/>
      </c>
      <c r="AU86" s="45">
        <f>AU59*INDEX('الافتراضات'!$C$69:$G$69,AU$9)</f>
        <v/>
      </c>
      <c r="AV86" s="45">
        <f>AV59*INDEX('الافتراضات'!$C$69:$G$69,AV$9)</f>
        <v/>
      </c>
      <c r="AW86" s="45">
        <f>AW59*INDEX('الافتراضات'!$C$69:$G$69,AW$9)</f>
        <v/>
      </c>
      <c r="AX86" s="45">
        <f>AX59*INDEX('الافتراضات'!$C$69:$G$69,AX$9)</f>
        <v/>
      </c>
      <c r="AY86" s="45">
        <f>AY59*INDEX('الافتراضات'!$C$69:$G$69,AY$9)</f>
        <v/>
      </c>
      <c r="AZ86" s="45">
        <f>AZ59*INDEX('الافتراضات'!$C$69:$G$69,AZ$9)</f>
        <v/>
      </c>
      <c r="BA86" s="45">
        <f>BA59*INDEX('الافتراضات'!$C$69:$G$69,BA$9)</f>
        <v/>
      </c>
      <c r="BB86" s="45">
        <f>BB59*INDEX('الافتراضات'!$C$69:$G$69,BB$9)</f>
        <v/>
      </c>
      <c r="BC86" s="45">
        <f>BC59*INDEX('الافتراضات'!$C$69:$G$69,BC$9)</f>
        <v/>
      </c>
      <c r="BD86" s="45">
        <f>BD59*INDEX('الافتراضات'!$C$69:$G$69,BD$9)</f>
        <v/>
      </c>
      <c r="BE86" s="45">
        <f>BE59*INDEX('الافتراضات'!$C$69:$G$69,BE$9)</f>
        <v/>
      </c>
      <c r="BF86" s="45">
        <f>BF59*INDEX('الافتراضات'!$C$69:$G$69,BF$9)</f>
        <v/>
      </c>
      <c r="BG86" s="45">
        <f>BG59*INDEX('الافتراضات'!$C$69:$G$69,BG$9)</f>
        <v/>
      </c>
      <c r="BH86" s="45">
        <f>BH59*INDEX('الافتراضات'!$C$69:$G$69,BH$9)</f>
        <v/>
      </c>
      <c r="BI86" s="45">
        <f>BI59*INDEX('الافتراضات'!$C$69:$G$69,BI$9)</f>
        <v/>
      </c>
      <c r="BJ86" s="45">
        <f>BJ59*INDEX('الافتراضات'!$C$69:$G$69,BJ$9)</f>
        <v/>
      </c>
      <c r="BK86" s="45">
        <f>BK59*INDEX('الافتراضات'!$C$69:$G$69,BK$9)</f>
        <v/>
      </c>
      <c r="BL86" s="45">
        <f>BL59*INDEX('الافتراضات'!$C$69:$G$69,BL$9)</f>
        <v/>
      </c>
      <c r="BM86" s="45">
        <f>BM59*INDEX('الافتراضات'!$C$69:$G$69,BM$9)</f>
        <v/>
      </c>
    </row>
    <row r="87">
      <c r="A87" s="4" t="inlineStr">
        <is>
          <t>الاستردادات والتعويضات</t>
        </is>
      </c>
      <c r="B87" s="22" t="inlineStr">
        <is>
          <t>ج.م</t>
        </is>
      </c>
      <c r="C87" s="45">
        <f>C58*INDEX('الافتراضات'!$C$70:$G$70,C$9)</f>
        <v/>
      </c>
      <c r="D87" s="45">
        <f>D58*INDEX('الافتراضات'!$C$70:$G$70,D$9)</f>
        <v/>
      </c>
      <c r="E87" s="45">
        <f>E58*INDEX('الافتراضات'!$C$70:$G$70,E$9)</f>
        <v/>
      </c>
      <c r="F87" s="45">
        <f>F58*INDEX('الافتراضات'!$C$70:$G$70,F$9)</f>
        <v/>
      </c>
      <c r="G87" s="45">
        <f>G58*INDEX('الافتراضات'!$C$70:$G$70,G$9)</f>
        <v/>
      </c>
      <c r="H87" s="45">
        <f>H58*INDEX('الافتراضات'!$C$70:$G$70,H$9)</f>
        <v/>
      </c>
      <c r="I87" s="45">
        <f>I58*INDEX('الافتراضات'!$C$70:$G$70,I$9)</f>
        <v/>
      </c>
      <c r="J87" s="45">
        <f>J58*INDEX('الافتراضات'!$C$70:$G$70,J$9)</f>
        <v/>
      </c>
      <c r="K87" s="45">
        <f>K58*INDEX('الافتراضات'!$C$70:$G$70,K$9)</f>
        <v/>
      </c>
      <c r="L87" s="45">
        <f>L58*INDEX('الافتراضات'!$C$70:$G$70,L$9)</f>
        <v/>
      </c>
      <c r="M87" s="45">
        <f>M58*INDEX('الافتراضات'!$C$70:$G$70,M$9)</f>
        <v/>
      </c>
      <c r="N87" s="45">
        <f>N58*INDEX('الافتراضات'!$C$70:$G$70,N$9)</f>
        <v/>
      </c>
      <c r="O87" s="45">
        <f>O58*INDEX('الافتراضات'!$C$70:$G$70,O$9)</f>
        <v/>
      </c>
      <c r="P87" s="45">
        <f>P58*INDEX('الافتراضات'!$C$70:$G$70,P$9)</f>
        <v/>
      </c>
      <c r="Q87" s="45">
        <f>Q58*INDEX('الافتراضات'!$C$70:$G$70,Q$9)</f>
        <v/>
      </c>
      <c r="R87" s="45">
        <f>R58*INDEX('الافتراضات'!$C$70:$G$70,R$9)</f>
        <v/>
      </c>
      <c r="S87" s="45">
        <f>S58*INDEX('الافتراضات'!$C$70:$G$70,S$9)</f>
        <v/>
      </c>
      <c r="T87" s="45">
        <f>T58*INDEX('الافتراضات'!$C$70:$G$70,T$9)</f>
        <v/>
      </c>
      <c r="U87" s="45">
        <f>U58*INDEX('الافتراضات'!$C$70:$G$70,U$9)</f>
        <v/>
      </c>
      <c r="V87" s="45">
        <f>V58*INDEX('الافتراضات'!$C$70:$G$70,V$9)</f>
        <v/>
      </c>
      <c r="W87" s="45">
        <f>W58*INDEX('الافتراضات'!$C$70:$G$70,W$9)</f>
        <v/>
      </c>
      <c r="X87" s="45">
        <f>X58*INDEX('الافتراضات'!$C$70:$G$70,X$9)</f>
        <v/>
      </c>
      <c r="Y87" s="45">
        <f>Y58*INDEX('الافتراضات'!$C$70:$G$70,Y$9)</f>
        <v/>
      </c>
      <c r="Z87" s="45">
        <f>Z58*INDEX('الافتراضات'!$C$70:$G$70,Z$9)</f>
        <v/>
      </c>
      <c r="AA87" s="45">
        <f>AA58*INDEX('الافتراضات'!$C$70:$G$70,AA$9)</f>
        <v/>
      </c>
      <c r="AB87" s="45">
        <f>AB58*INDEX('الافتراضات'!$C$70:$G$70,AB$9)</f>
        <v/>
      </c>
      <c r="AC87" s="45">
        <f>AC58*INDEX('الافتراضات'!$C$70:$G$70,AC$9)</f>
        <v/>
      </c>
      <c r="AD87" s="45">
        <f>AD58*INDEX('الافتراضات'!$C$70:$G$70,AD$9)</f>
        <v/>
      </c>
      <c r="AE87" s="45">
        <f>AE58*INDEX('الافتراضات'!$C$70:$G$70,AE$9)</f>
        <v/>
      </c>
      <c r="AF87" s="45">
        <f>AF58*INDEX('الافتراضات'!$C$70:$G$70,AF$9)</f>
        <v/>
      </c>
      <c r="AG87" s="45">
        <f>AG58*INDEX('الافتراضات'!$C$70:$G$70,AG$9)</f>
        <v/>
      </c>
      <c r="AH87" s="45">
        <f>AH58*INDEX('الافتراضات'!$C$70:$G$70,AH$9)</f>
        <v/>
      </c>
      <c r="AI87" s="45">
        <f>AI58*INDEX('الافتراضات'!$C$70:$G$70,AI$9)</f>
        <v/>
      </c>
      <c r="AJ87" s="45">
        <f>AJ58*INDEX('الافتراضات'!$C$70:$G$70,AJ$9)</f>
        <v/>
      </c>
      <c r="AK87" s="45">
        <f>AK58*INDEX('الافتراضات'!$C$70:$G$70,AK$9)</f>
        <v/>
      </c>
      <c r="AL87" s="45">
        <f>AL58*INDEX('الافتراضات'!$C$70:$G$70,AL$9)</f>
        <v/>
      </c>
      <c r="AM87" s="45">
        <f>AM58*INDEX('الافتراضات'!$C$70:$G$70,AM$9)</f>
        <v/>
      </c>
      <c r="AN87" s="45">
        <f>AN58*INDEX('الافتراضات'!$C$70:$G$70,AN$9)</f>
        <v/>
      </c>
      <c r="AO87" s="45">
        <f>AO58*INDEX('الافتراضات'!$C$70:$G$70,AO$9)</f>
        <v/>
      </c>
      <c r="AP87" s="45">
        <f>AP58*INDEX('الافتراضات'!$C$70:$G$70,AP$9)</f>
        <v/>
      </c>
      <c r="AQ87" s="45">
        <f>AQ58*INDEX('الافتراضات'!$C$70:$G$70,AQ$9)</f>
        <v/>
      </c>
      <c r="AR87" s="45">
        <f>AR58*INDEX('الافتراضات'!$C$70:$G$70,AR$9)</f>
        <v/>
      </c>
      <c r="AS87" s="45">
        <f>AS58*INDEX('الافتراضات'!$C$70:$G$70,AS$9)</f>
        <v/>
      </c>
      <c r="AT87" s="45">
        <f>AT58*INDEX('الافتراضات'!$C$70:$G$70,AT$9)</f>
        <v/>
      </c>
      <c r="AU87" s="45">
        <f>AU58*INDEX('الافتراضات'!$C$70:$G$70,AU$9)</f>
        <v/>
      </c>
      <c r="AV87" s="45">
        <f>AV58*INDEX('الافتراضات'!$C$70:$G$70,AV$9)</f>
        <v/>
      </c>
      <c r="AW87" s="45">
        <f>AW58*INDEX('الافتراضات'!$C$70:$G$70,AW$9)</f>
        <v/>
      </c>
      <c r="AX87" s="45">
        <f>AX58*INDEX('الافتراضات'!$C$70:$G$70,AX$9)</f>
        <v/>
      </c>
      <c r="AY87" s="45">
        <f>AY58*INDEX('الافتراضات'!$C$70:$G$70,AY$9)</f>
        <v/>
      </c>
      <c r="AZ87" s="45">
        <f>AZ58*INDEX('الافتراضات'!$C$70:$G$70,AZ$9)</f>
        <v/>
      </c>
      <c r="BA87" s="45">
        <f>BA58*INDEX('الافتراضات'!$C$70:$G$70,BA$9)</f>
        <v/>
      </c>
      <c r="BB87" s="45">
        <f>BB58*INDEX('الافتراضات'!$C$70:$G$70,BB$9)</f>
        <v/>
      </c>
      <c r="BC87" s="45">
        <f>BC58*INDEX('الافتراضات'!$C$70:$G$70,BC$9)</f>
        <v/>
      </c>
      <c r="BD87" s="45">
        <f>BD58*INDEX('الافتراضات'!$C$70:$G$70,BD$9)</f>
        <v/>
      </c>
      <c r="BE87" s="45">
        <f>BE58*INDEX('الافتراضات'!$C$70:$G$70,BE$9)</f>
        <v/>
      </c>
      <c r="BF87" s="45">
        <f>BF58*INDEX('الافتراضات'!$C$70:$G$70,BF$9)</f>
        <v/>
      </c>
      <c r="BG87" s="45">
        <f>BG58*INDEX('الافتراضات'!$C$70:$G$70,BG$9)</f>
        <v/>
      </c>
      <c r="BH87" s="45">
        <f>BH58*INDEX('الافتراضات'!$C$70:$G$70,BH$9)</f>
        <v/>
      </c>
      <c r="BI87" s="45">
        <f>BI58*INDEX('الافتراضات'!$C$70:$G$70,BI$9)</f>
        <v/>
      </c>
      <c r="BJ87" s="45">
        <f>BJ58*INDEX('الافتراضات'!$C$70:$G$70,BJ$9)</f>
        <v/>
      </c>
      <c r="BK87" s="45">
        <f>BK58*INDEX('الافتراضات'!$C$70:$G$70,BK$9)</f>
        <v/>
      </c>
      <c r="BL87" s="45">
        <f>BL58*INDEX('الافتراضات'!$C$70:$G$70,BL$9)</f>
        <v/>
      </c>
      <c r="BM87" s="45">
        <f>BM58*INDEX('الافتراضات'!$C$70:$G$70,BM$9)</f>
        <v/>
      </c>
    </row>
    <row r="88">
      <c r="A88" s="4" t="inlineStr">
        <is>
          <t>الدعم والرسائل</t>
        </is>
      </c>
      <c r="B88" s="22" t="inlineStr">
        <is>
          <t>ج.م</t>
        </is>
      </c>
      <c r="C88" s="45">
        <f>C54*INDEX('الافتراضات'!$C$71:$G$71,C$9)</f>
        <v/>
      </c>
      <c r="D88" s="45">
        <f>D54*INDEX('الافتراضات'!$C$71:$G$71,D$9)</f>
        <v/>
      </c>
      <c r="E88" s="45">
        <f>E54*INDEX('الافتراضات'!$C$71:$G$71,E$9)</f>
        <v/>
      </c>
      <c r="F88" s="45">
        <f>F54*INDEX('الافتراضات'!$C$71:$G$71,F$9)</f>
        <v/>
      </c>
      <c r="G88" s="45">
        <f>G54*INDEX('الافتراضات'!$C$71:$G$71,G$9)</f>
        <v/>
      </c>
      <c r="H88" s="45">
        <f>H54*INDEX('الافتراضات'!$C$71:$G$71,H$9)</f>
        <v/>
      </c>
      <c r="I88" s="45">
        <f>I54*INDEX('الافتراضات'!$C$71:$G$71,I$9)</f>
        <v/>
      </c>
      <c r="J88" s="45">
        <f>J54*INDEX('الافتراضات'!$C$71:$G$71,J$9)</f>
        <v/>
      </c>
      <c r="K88" s="45">
        <f>K54*INDEX('الافتراضات'!$C$71:$G$71,K$9)</f>
        <v/>
      </c>
      <c r="L88" s="45">
        <f>L54*INDEX('الافتراضات'!$C$71:$G$71,L$9)</f>
        <v/>
      </c>
      <c r="M88" s="45">
        <f>M54*INDEX('الافتراضات'!$C$71:$G$71,M$9)</f>
        <v/>
      </c>
      <c r="N88" s="45">
        <f>N54*INDEX('الافتراضات'!$C$71:$G$71,N$9)</f>
        <v/>
      </c>
      <c r="O88" s="45">
        <f>O54*INDEX('الافتراضات'!$C$71:$G$71,O$9)</f>
        <v/>
      </c>
      <c r="P88" s="45">
        <f>P54*INDEX('الافتراضات'!$C$71:$G$71,P$9)</f>
        <v/>
      </c>
      <c r="Q88" s="45">
        <f>Q54*INDEX('الافتراضات'!$C$71:$G$71,Q$9)</f>
        <v/>
      </c>
      <c r="R88" s="45">
        <f>R54*INDEX('الافتراضات'!$C$71:$G$71,R$9)</f>
        <v/>
      </c>
      <c r="S88" s="45">
        <f>S54*INDEX('الافتراضات'!$C$71:$G$71,S$9)</f>
        <v/>
      </c>
      <c r="T88" s="45">
        <f>T54*INDEX('الافتراضات'!$C$71:$G$71,T$9)</f>
        <v/>
      </c>
      <c r="U88" s="45">
        <f>U54*INDEX('الافتراضات'!$C$71:$G$71,U$9)</f>
        <v/>
      </c>
      <c r="V88" s="45">
        <f>V54*INDEX('الافتراضات'!$C$71:$G$71,V$9)</f>
        <v/>
      </c>
      <c r="W88" s="45">
        <f>W54*INDEX('الافتراضات'!$C$71:$G$71,W$9)</f>
        <v/>
      </c>
      <c r="X88" s="45">
        <f>X54*INDEX('الافتراضات'!$C$71:$G$71,X$9)</f>
        <v/>
      </c>
      <c r="Y88" s="45">
        <f>Y54*INDEX('الافتراضات'!$C$71:$G$71,Y$9)</f>
        <v/>
      </c>
      <c r="Z88" s="45">
        <f>Z54*INDEX('الافتراضات'!$C$71:$G$71,Z$9)</f>
        <v/>
      </c>
      <c r="AA88" s="45">
        <f>AA54*INDEX('الافتراضات'!$C$71:$G$71,AA$9)</f>
        <v/>
      </c>
      <c r="AB88" s="45">
        <f>AB54*INDEX('الافتراضات'!$C$71:$G$71,AB$9)</f>
        <v/>
      </c>
      <c r="AC88" s="45">
        <f>AC54*INDEX('الافتراضات'!$C$71:$G$71,AC$9)</f>
        <v/>
      </c>
      <c r="AD88" s="45">
        <f>AD54*INDEX('الافتراضات'!$C$71:$G$71,AD$9)</f>
        <v/>
      </c>
      <c r="AE88" s="45">
        <f>AE54*INDEX('الافتراضات'!$C$71:$G$71,AE$9)</f>
        <v/>
      </c>
      <c r="AF88" s="45">
        <f>AF54*INDEX('الافتراضات'!$C$71:$G$71,AF$9)</f>
        <v/>
      </c>
      <c r="AG88" s="45">
        <f>AG54*INDEX('الافتراضات'!$C$71:$G$71,AG$9)</f>
        <v/>
      </c>
      <c r="AH88" s="45">
        <f>AH54*INDEX('الافتراضات'!$C$71:$G$71,AH$9)</f>
        <v/>
      </c>
      <c r="AI88" s="45">
        <f>AI54*INDEX('الافتراضات'!$C$71:$G$71,AI$9)</f>
        <v/>
      </c>
      <c r="AJ88" s="45">
        <f>AJ54*INDEX('الافتراضات'!$C$71:$G$71,AJ$9)</f>
        <v/>
      </c>
      <c r="AK88" s="45">
        <f>AK54*INDEX('الافتراضات'!$C$71:$G$71,AK$9)</f>
        <v/>
      </c>
      <c r="AL88" s="45">
        <f>AL54*INDEX('الافتراضات'!$C$71:$G$71,AL$9)</f>
        <v/>
      </c>
      <c r="AM88" s="45">
        <f>AM54*INDEX('الافتراضات'!$C$71:$G$71,AM$9)</f>
        <v/>
      </c>
      <c r="AN88" s="45">
        <f>AN54*INDEX('الافتراضات'!$C$71:$G$71,AN$9)</f>
        <v/>
      </c>
      <c r="AO88" s="45">
        <f>AO54*INDEX('الافتراضات'!$C$71:$G$71,AO$9)</f>
        <v/>
      </c>
      <c r="AP88" s="45">
        <f>AP54*INDEX('الافتراضات'!$C$71:$G$71,AP$9)</f>
        <v/>
      </c>
      <c r="AQ88" s="45">
        <f>AQ54*INDEX('الافتراضات'!$C$71:$G$71,AQ$9)</f>
        <v/>
      </c>
      <c r="AR88" s="45">
        <f>AR54*INDEX('الافتراضات'!$C$71:$G$71,AR$9)</f>
        <v/>
      </c>
      <c r="AS88" s="45">
        <f>AS54*INDEX('الافتراضات'!$C$71:$G$71,AS$9)</f>
        <v/>
      </c>
      <c r="AT88" s="45">
        <f>AT54*INDEX('الافتراضات'!$C$71:$G$71,AT$9)</f>
        <v/>
      </c>
      <c r="AU88" s="45">
        <f>AU54*INDEX('الافتراضات'!$C$71:$G$71,AU$9)</f>
        <v/>
      </c>
      <c r="AV88" s="45">
        <f>AV54*INDEX('الافتراضات'!$C$71:$G$71,AV$9)</f>
        <v/>
      </c>
      <c r="AW88" s="45">
        <f>AW54*INDEX('الافتراضات'!$C$71:$G$71,AW$9)</f>
        <v/>
      </c>
      <c r="AX88" s="45">
        <f>AX54*INDEX('الافتراضات'!$C$71:$G$71,AX$9)</f>
        <v/>
      </c>
      <c r="AY88" s="45">
        <f>AY54*INDEX('الافتراضات'!$C$71:$G$71,AY$9)</f>
        <v/>
      </c>
      <c r="AZ88" s="45">
        <f>AZ54*INDEX('الافتراضات'!$C$71:$G$71,AZ$9)</f>
        <v/>
      </c>
      <c r="BA88" s="45">
        <f>BA54*INDEX('الافتراضات'!$C$71:$G$71,BA$9)</f>
        <v/>
      </c>
      <c r="BB88" s="45">
        <f>BB54*INDEX('الافتراضات'!$C$71:$G$71,BB$9)</f>
        <v/>
      </c>
      <c r="BC88" s="45">
        <f>BC54*INDEX('الافتراضات'!$C$71:$G$71,BC$9)</f>
        <v/>
      </c>
      <c r="BD88" s="45">
        <f>BD54*INDEX('الافتراضات'!$C$71:$G$71,BD$9)</f>
        <v/>
      </c>
      <c r="BE88" s="45">
        <f>BE54*INDEX('الافتراضات'!$C$71:$G$71,BE$9)</f>
        <v/>
      </c>
      <c r="BF88" s="45">
        <f>BF54*INDEX('الافتراضات'!$C$71:$G$71,BF$9)</f>
        <v/>
      </c>
      <c r="BG88" s="45">
        <f>BG54*INDEX('الافتراضات'!$C$71:$G$71,BG$9)</f>
        <v/>
      </c>
      <c r="BH88" s="45">
        <f>BH54*INDEX('الافتراضات'!$C$71:$G$71,BH$9)</f>
        <v/>
      </c>
      <c r="BI88" s="45">
        <f>BI54*INDEX('الافتراضات'!$C$71:$G$71,BI$9)</f>
        <v/>
      </c>
      <c r="BJ88" s="45">
        <f>BJ54*INDEX('الافتراضات'!$C$71:$G$71,BJ$9)</f>
        <v/>
      </c>
      <c r="BK88" s="45">
        <f>BK54*INDEX('الافتراضات'!$C$71:$G$71,BK$9)</f>
        <v/>
      </c>
      <c r="BL88" s="45">
        <f>BL54*INDEX('الافتراضات'!$C$71:$G$71,BL$9)</f>
        <v/>
      </c>
      <c r="BM88" s="45">
        <f>BM54*INDEX('الافتراضات'!$C$71:$G$71,BM$9)</f>
        <v/>
      </c>
    </row>
    <row r="89">
      <c r="A89" s="48" t="inlineStr">
        <is>
          <t>إجمالي التكاليف المتغيرة</t>
        </is>
      </c>
      <c r="B89" s="49" t="inlineStr">
        <is>
          <t>ج.م</t>
        </is>
      </c>
      <c r="C89" s="50">
        <f>SUM(C81:C88)</f>
        <v/>
      </c>
      <c r="D89" s="50">
        <f>SUM(D81:D88)</f>
        <v/>
      </c>
      <c r="E89" s="50">
        <f>SUM(E81:E88)</f>
        <v/>
      </c>
      <c r="F89" s="50">
        <f>SUM(F81:F88)</f>
        <v/>
      </c>
      <c r="G89" s="50">
        <f>SUM(G81:G88)</f>
        <v/>
      </c>
      <c r="H89" s="50">
        <f>SUM(H81:H88)</f>
        <v/>
      </c>
      <c r="I89" s="50">
        <f>SUM(I81:I88)</f>
        <v/>
      </c>
      <c r="J89" s="50">
        <f>SUM(J81:J88)</f>
        <v/>
      </c>
      <c r="K89" s="50">
        <f>SUM(K81:K88)</f>
        <v/>
      </c>
      <c r="L89" s="50">
        <f>SUM(L81:L88)</f>
        <v/>
      </c>
      <c r="M89" s="50">
        <f>SUM(M81:M88)</f>
        <v/>
      </c>
      <c r="N89" s="50">
        <f>SUM(N81:N88)</f>
        <v/>
      </c>
      <c r="O89" s="50">
        <f>SUM(O81:O88)</f>
        <v/>
      </c>
      <c r="P89" s="50">
        <f>SUM(P81:P88)</f>
        <v/>
      </c>
      <c r="Q89" s="50">
        <f>SUM(Q81:Q88)</f>
        <v/>
      </c>
      <c r="R89" s="50">
        <f>SUM(R81:R88)</f>
        <v/>
      </c>
      <c r="S89" s="50">
        <f>SUM(S81:S88)</f>
        <v/>
      </c>
      <c r="T89" s="50">
        <f>SUM(T81:T88)</f>
        <v/>
      </c>
      <c r="U89" s="50">
        <f>SUM(U81:U88)</f>
        <v/>
      </c>
      <c r="V89" s="50">
        <f>SUM(V81:V88)</f>
        <v/>
      </c>
      <c r="W89" s="50">
        <f>SUM(W81:W88)</f>
        <v/>
      </c>
      <c r="X89" s="50">
        <f>SUM(X81:X88)</f>
        <v/>
      </c>
      <c r="Y89" s="50">
        <f>SUM(Y81:Y88)</f>
        <v/>
      </c>
      <c r="Z89" s="50">
        <f>SUM(Z81:Z88)</f>
        <v/>
      </c>
      <c r="AA89" s="50">
        <f>SUM(AA81:AA88)</f>
        <v/>
      </c>
      <c r="AB89" s="50">
        <f>SUM(AB81:AB88)</f>
        <v/>
      </c>
      <c r="AC89" s="50">
        <f>SUM(AC81:AC88)</f>
        <v/>
      </c>
      <c r="AD89" s="50">
        <f>SUM(AD81:AD88)</f>
        <v/>
      </c>
      <c r="AE89" s="50">
        <f>SUM(AE81:AE88)</f>
        <v/>
      </c>
      <c r="AF89" s="50">
        <f>SUM(AF81:AF88)</f>
        <v/>
      </c>
      <c r="AG89" s="50">
        <f>SUM(AG81:AG88)</f>
        <v/>
      </c>
      <c r="AH89" s="50">
        <f>SUM(AH81:AH88)</f>
        <v/>
      </c>
      <c r="AI89" s="50">
        <f>SUM(AI81:AI88)</f>
        <v/>
      </c>
      <c r="AJ89" s="50">
        <f>SUM(AJ81:AJ88)</f>
        <v/>
      </c>
      <c r="AK89" s="50">
        <f>SUM(AK81:AK88)</f>
        <v/>
      </c>
      <c r="AL89" s="50">
        <f>SUM(AL81:AL88)</f>
        <v/>
      </c>
      <c r="AM89" s="50">
        <f>SUM(AM81:AM88)</f>
        <v/>
      </c>
      <c r="AN89" s="50">
        <f>SUM(AN81:AN88)</f>
        <v/>
      </c>
      <c r="AO89" s="50">
        <f>SUM(AO81:AO88)</f>
        <v/>
      </c>
      <c r="AP89" s="50">
        <f>SUM(AP81:AP88)</f>
        <v/>
      </c>
      <c r="AQ89" s="50">
        <f>SUM(AQ81:AQ88)</f>
        <v/>
      </c>
      <c r="AR89" s="50">
        <f>SUM(AR81:AR88)</f>
        <v/>
      </c>
      <c r="AS89" s="50">
        <f>SUM(AS81:AS88)</f>
        <v/>
      </c>
      <c r="AT89" s="50">
        <f>SUM(AT81:AT88)</f>
        <v/>
      </c>
      <c r="AU89" s="50">
        <f>SUM(AU81:AU88)</f>
        <v/>
      </c>
      <c r="AV89" s="50">
        <f>SUM(AV81:AV88)</f>
        <v/>
      </c>
      <c r="AW89" s="50">
        <f>SUM(AW81:AW88)</f>
        <v/>
      </c>
      <c r="AX89" s="50">
        <f>SUM(AX81:AX88)</f>
        <v/>
      </c>
      <c r="AY89" s="50">
        <f>SUM(AY81:AY88)</f>
        <v/>
      </c>
      <c r="AZ89" s="50">
        <f>SUM(AZ81:AZ88)</f>
        <v/>
      </c>
      <c r="BA89" s="50">
        <f>SUM(BA81:BA88)</f>
        <v/>
      </c>
      <c r="BB89" s="50">
        <f>SUM(BB81:BB88)</f>
        <v/>
      </c>
      <c r="BC89" s="50">
        <f>SUM(BC81:BC88)</f>
        <v/>
      </c>
      <c r="BD89" s="50">
        <f>SUM(BD81:BD88)</f>
        <v/>
      </c>
      <c r="BE89" s="50">
        <f>SUM(BE81:BE88)</f>
        <v/>
      </c>
      <c r="BF89" s="50">
        <f>SUM(BF81:BF88)</f>
        <v/>
      </c>
      <c r="BG89" s="50">
        <f>SUM(BG81:BG88)</f>
        <v/>
      </c>
      <c r="BH89" s="50">
        <f>SUM(BH81:BH88)</f>
        <v/>
      </c>
      <c r="BI89" s="50">
        <f>SUM(BI81:BI88)</f>
        <v/>
      </c>
      <c r="BJ89" s="50">
        <f>SUM(BJ81:BJ88)</f>
        <v/>
      </c>
      <c r="BK89" s="50">
        <f>SUM(BK81:BK88)</f>
        <v/>
      </c>
      <c r="BL89" s="50">
        <f>SUM(BL81:BL88)</f>
        <v/>
      </c>
      <c r="BM89" s="50">
        <f>SUM(BM81:BM88)</f>
        <v/>
      </c>
    </row>
    <row r="90">
      <c r="A90" s="48" t="inlineStr">
        <is>
          <t>هامش المساهمة</t>
        </is>
      </c>
      <c r="B90" s="49" t="inlineStr">
        <is>
          <t>ج.م</t>
        </is>
      </c>
      <c r="C90" s="50">
        <f>C76-C89</f>
        <v/>
      </c>
      <c r="D90" s="50">
        <f>D76-D89</f>
        <v/>
      </c>
      <c r="E90" s="50">
        <f>E76-E89</f>
        <v/>
      </c>
      <c r="F90" s="50">
        <f>F76-F89</f>
        <v/>
      </c>
      <c r="G90" s="50">
        <f>G76-G89</f>
        <v/>
      </c>
      <c r="H90" s="50">
        <f>H76-H89</f>
        <v/>
      </c>
      <c r="I90" s="50">
        <f>I76-I89</f>
        <v/>
      </c>
      <c r="J90" s="50">
        <f>J76-J89</f>
        <v/>
      </c>
      <c r="K90" s="50">
        <f>K76-K89</f>
        <v/>
      </c>
      <c r="L90" s="50">
        <f>L76-L89</f>
        <v/>
      </c>
      <c r="M90" s="50">
        <f>M76-M89</f>
        <v/>
      </c>
      <c r="N90" s="50">
        <f>N76-N89</f>
        <v/>
      </c>
      <c r="O90" s="50">
        <f>O76-O89</f>
        <v/>
      </c>
      <c r="P90" s="50">
        <f>P76-P89</f>
        <v/>
      </c>
      <c r="Q90" s="50">
        <f>Q76-Q89</f>
        <v/>
      </c>
      <c r="R90" s="50">
        <f>R76-R89</f>
        <v/>
      </c>
      <c r="S90" s="50">
        <f>S76-S89</f>
        <v/>
      </c>
      <c r="T90" s="50">
        <f>T76-T89</f>
        <v/>
      </c>
      <c r="U90" s="50">
        <f>U76-U89</f>
        <v/>
      </c>
      <c r="V90" s="50">
        <f>V76-V89</f>
        <v/>
      </c>
      <c r="W90" s="50">
        <f>W76-W89</f>
        <v/>
      </c>
      <c r="X90" s="50">
        <f>X76-X89</f>
        <v/>
      </c>
      <c r="Y90" s="50">
        <f>Y76-Y89</f>
        <v/>
      </c>
      <c r="Z90" s="50">
        <f>Z76-Z89</f>
        <v/>
      </c>
      <c r="AA90" s="50">
        <f>AA76-AA89</f>
        <v/>
      </c>
      <c r="AB90" s="50">
        <f>AB76-AB89</f>
        <v/>
      </c>
      <c r="AC90" s="50">
        <f>AC76-AC89</f>
        <v/>
      </c>
      <c r="AD90" s="50">
        <f>AD76-AD89</f>
        <v/>
      </c>
      <c r="AE90" s="50">
        <f>AE76-AE89</f>
        <v/>
      </c>
      <c r="AF90" s="50">
        <f>AF76-AF89</f>
        <v/>
      </c>
      <c r="AG90" s="50">
        <f>AG76-AG89</f>
        <v/>
      </c>
      <c r="AH90" s="50">
        <f>AH76-AH89</f>
        <v/>
      </c>
      <c r="AI90" s="50">
        <f>AI76-AI89</f>
        <v/>
      </c>
      <c r="AJ90" s="50">
        <f>AJ76-AJ89</f>
        <v/>
      </c>
      <c r="AK90" s="50">
        <f>AK76-AK89</f>
        <v/>
      </c>
      <c r="AL90" s="50">
        <f>AL76-AL89</f>
        <v/>
      </c>
      <c r="AM90" s="50">
        <f>AM76-AM89</f>
        <v/>
      </c>
      <c r="AN90" s="50">
        <f>AN76-AN89</f>
        <v/>
      </c>
      <c r="AO90" s="50">
        <f>AO76-AO89</f>
        <v/>
      </c>
      <c r="AP90" s="50">
        <f>AP76-AP89</f>
        <v/>
      </c>
      <c r="AQ90" s="50">
        <f>AQ76-AQ89</f>
        <v/>
      </c>
      <c r="AR90" s="50">
        <f>AR76-AR89</f>
        <v/>
      </c>
      <c r="AS90" s="50">
        <f>AS76-AS89</f>
        <v/>
      </c>
      <c r="AT90" s="50">
        <f>AT76-AT89</f>
        <v/>
      </c>
      <c r="AU90" s="50">
        <f>AU76-AU89</f>
        <v/>
      </c>
      <c r="AV90" s="50">
        <f>AV76-AV89</f>
        <v/>
      </c>
      <c r="AW90" s="50">
        <f>AW76-AW89</f>
        <v/>
      </c>
      <c r="AX90" s="50">
        <f>AX76-AX89</f>
        <v/>
      </c>
      <c r="AY90" s="50">
        <f>AY76-AY89</f>
        <v/>
      </c>
      <c r="AZ90" s="50">
        <f>AZ76-AZ89</f>
        <v/>
      </c>
      <c r="BA90" s="50">
        <f>BA76-BA89</f>
        <v/>
      </c>
      <c r="BB90" s="50">
        <f>BB76-BB89</f>
        <v/>
      </c>
      <c r="BC90" s="50">
        <f>BC76-BC89</f>
        <v/>
      </c>
      <c r="BD90" s="50">
        <f>BD76-BD89</f>
        <v/>
      </c>
      <c r="BE90" s="50">
        <f>BE76-BE89</f>
        <v/>
      </c>
      <c r="BF90" s="50">
        <f>BF76-BF89</f>
        <v/>
      </c>
      <c r="BG90" s="50">
        <f>BG76-BG89</f>
        <v/>
      </c>
      <c r="BH90" s="50">
        <f>BH76-BH89</f>
        <v/>
      </c>
      <c r="BI90" s="50">
        <f>BI76-BI89</f>
        <v/>
      </c>
      <c r="BJ90" s="50">
        <f>BJ76-BJ89</f>
        <v/>
      </c>
      <c r="BK90" s="50">
        <f>BK76-BK89</f>
        <v/>
      </c>
      <c r="BL90" s="50">
        <f>BL76-BL89</f>
        <v/>
      </c>
      <c r="BM90" s="50">
        <f>BM76-BM89</f>
        <v/>
      </c>
    </row>
    <row r="91">
      <c r="A91" s="4" t="inlineStr">
        <is>
          <t>المساهمة لكل طلب عميل</t>
        </is>
      </c>
      <c r="B91" s="22" t="inlineStr">
        <is>
          <t>ج.م</t>
        </is>
      </c>
      <c r="C91" s="51">
        <f>IF(C54&gt;0,C90/C54,0)</f>
        <v/>
      </c>
      <c r="D91" s="51">
        <f>IF(D54&gt;0,D90/D54,0)</f>
        <v/>
      </c>
      <c r="E91" s="51">
        <f>IF(E54&gt;0,E90/E54,0)</f>
        <v/>
      </c>
      <c r="F91" s="51">
        <f>IF(F54&gt;0,F90/F54,0)</f>
        <v/>
      </c>
      <c r="G91" s="51">
        <f>IF(G54&gt;0,G90/G54,0)</f>
        <v/>
      </c>
      <c r="H91" s="51">
        <f>IF(H54&gt;0,H90/H54,0)</f>
        <v/>
      </c>
      <c r="I91" s="51">
        <f>IF(I54&gt;0,I90/I54,0)</f>
        <v/>
      </c>
      <c r="J91" s="51">
        <f>IF(J54&gt;0,J90/J54,0)</f>
        <v/>
      </c>
      <c r="K91" s="51">
        <f>IF(K54&gt;0,K90/K54,0)</f>
        <v/>
      </c>
      <c r="L91" s="51">
        <f>IF(L54&gt;0,L90/L54,0)</f>
        <v/>
      </c>
      <c r="M91" s="51">
        <f>IF(M54&gt;0,M90/M54,0)</f>
        <v/>
      </c>
      <c r="N91" s="51">
        <f>IF(N54&gt;0,N90/N54,0)</f>
        <v/>
      </c>
      <c r="O91" s="51">
        <f>IF(O54&gt;0,O90/O54,0)</f>
        <v/>
      </c>
      <c r="P91" s="51">
        <f>IF(P54&gt;0,P90/P54,0)</f>
        <v/>
      </c>
      <c r="Q91" s="51">
        <f>IF(Q54&gt;0,Q90/Q54,0)</f>
        <v/>
      </c>
      <c r="R91" s="51">
        <f>IF(R54&gt;0,R90/R54,0)</f>
        <v/>
      </c>
      <c r="S91" s="51">
        <f>IF(S54&gt;0,S90/S54,0)</f>
        <v/>
      </c>
      <c r="T91" s="51">
        <f>IF(T54&gt;0,T90/T54,0)</f>
        <v/>
      </c>
      <c r="U91" s="51">
        <f>IF(U54&gt;0,U90/U54,0)</f>
        <v/>
      </c>
      <c r="V91" s="51">
        <f>IF(V54&gt;0,V90/V54,0)</f>
        <v/>
      </c>
      <c r="W91" s="51">
        <f>IF(W54&gt;0,W90/W54,0)</f>
        <v/>
      </c>
      <c r="X91" s="51">
        <f>IF(X54&gt;0,X90/X54,0)</f>
        <v/>
      </c>
      <c r="Y91" s="51">
        <f>IF(Y54&gt;0,Y90/Y54,0)</f>
        <v/>
      </c>
      <c r="Z91" s="51">
        <f>IF(Z54&gt;0,Z90/Z54,0)</f>
        <v/>
      </c>
      <c r="AA91" s="51">
        <f>IF(AA54&gt;0,AA90/AA54,0)</f>
        <v/>
      </c>
      <c r="AB91" s="51">
        <f>IF(AB54&gt;0,AB90/AB54,0)</f>
        <v/>
      </c>
      <c r="AC91" s="51">
        <f>IF(AC54&gt;0,AC90/AC54,0)</f>
        <v/>
      </c>
      <c r="AD91" s="51">
        <f>IF(AD54&gt;0,AD90/AD54,0)</f>
        <v/>
      </c>
      <c r="AE91" s="51">
        <f>IF(AE54&gt;0,AE90/AE54,0)</f>
        <v/>
      </c>
      <c r="AF91" s="51">
        <f>IF(AF54&gt;0,AF90/AF54,0)</f>
        <v/>
      </c>
      <c r="AG91" s="51">
        <f>IF(AG54&gt;0,AG90/AG54,0)</f>
        <v/>
      </c>
      <c r="AH91" s="51">
        <f>IF(AH54&gt;0,AH90/AH54,0)</f>
        <v/>
      </c>
      <c r="AI91" s="51">
        <f>IF(AI54&gt;0,AI90/AI54,0)</f>
        <v/>
      </c>
      <c r="AJ91" s="51">
        <f>IF(AJ54&gt;0,AJ90/AJ54,0)</f>
        <v/>
      </c>
      <c r="AK91" s="51">
        <f>IF(AK54&gt;0,AK90/AK54,0)</f>
        <v/>
      </c>
      <c r="AL91" s="51">
        <f>IF(AL54&gt;0,AL90/AL54,0)</f>
        <v/>
      </c>
      <c r="AM91" s="51">
        <f>IF(AM54&gt;0,AM90/AM54,0)</f>
        <v/>
      </c>
      <c r="AN91" s="51">
        <f>IF(AN54&gt;0,AN90/AN54,0)</f>
        <v/>
      </c>
      <c r="AO91" s="51">
        <f>IF(AO54&gt;0,AO90/AO54,0)</f>
        <v/>
      </c>
      <c r="AP91" s="51">
        <f>IF(AP54&gt;0,AP90/AP54,0)</f>
        <v/>
      </c>
      <c r="AQ91" s="51">
        <f>IF(AQ54&gt;0,AQ90/AQ54,0)</f>
        <v/>
      </c>
      <c r="AR91" s="51">
        <f>IF(AR54&gt;0,AR90/AR54,0)</f>
        <v/>
      </c>
      <c r="AS91" s="51">
        <f>IF(AS54&gt;0,AS90/AS54,0)</f>
        <v/>
      </c>
      <c r="AT91" s="51">
        <f>IF(AT54&gt;0,AT90/AT54,0)</f>
        <v/>
      </c>
      <c r="AU91" s="51">
        <f>IF(AU54&gt;0,AU90/AU54,0)</f>
        <v/>
      </c>
      <c r="AV91" s="51">
        <f>IF(AV54&gt;0,AV90/AV54,0)</f>
        <v/>
      </c>
      <c r="AW91" s="51">
        <f>IF(AW54&gt;0,AW90/AW54,0)</f>
        <v/>
      </c>
      <c r="AX91" s="51">
        <f>IF(AX54&gt;0,AX90/AX54,0)</f>
        <v/>
      </c>
      <c r="AY91" s="51">
        <f>IF(AY54&gt;0,AY90/AY54,0)</f>
        <v/>
      </c>
      <c r="AZ91" s="51">
        <f>IF(AZ54&gt;0,AZ90/AZ54,0)</f>
        <v/>
      </c>
      <c r="BA91" s="51">
        <f>IF(BA54&gt;0,BA90/BA54,0)</f>
        <v/>
      </c>
      <c r="BB91" s="51">
        <f>IF(BB54&gt;0,BB90/BB54,0)</f>
        <v/>
      </c>
      <c r="BC91" s="51">
        <f>IF(BC54&gt;0,BC90/BC54,0)</f>
        <v/>
      </c>
      <c r="BD91" s="51">
        <f>IF(BD54&gt;0,BD90/BD54,0)</f>
        <v/>
      </c>
      <c r="BE91" s="51">
        <f>IF(BE54&gt;0,BE90/BE54,0)</f>
        <v/>
      </c>
      <c r="BF91" s="51">
        <f>IF(BF54&gt;0,BF90/BF54,0)</f>
        <v/>
      </c>
      <c r="BG91" s="51">
        <f>IF(BG54&gt;0,BG90/BG54,0)</f>
        <v/>
      </c>
      <c r="BH91" s="51">
        <f>IF(BH54&gt;0,BH90/BH54,0)</f>
        <v/>
      </c>
      <c r="BI91" s="51">
        <f>IF(BI54&gt;0,BI90/BI54,0)</f>
        <v/>
      </c>
      <c r="BJ91" s="51">
        <f>IF(BJ54&gt;0,BJ90/BJ54,0)</f>
        <v/>
      </c>
      <c r="BK91" s="51">
        <f>IF(BK54&gt;0,BK90/BK54,0)</f>
        <v/>
      </c>
      <c r="BL91" s="51">
        <f>IF(BL54&gt;0,BL90/BL54,0)</f>
        <v/>
      </c>
      <c r="BM91" s="51">
        <f>IF(BM54&gt;0,BM90/BM54,0)</f>
        <v/>
      </c>
    </row>
    <row r="92"/>
    <row r="93">
      <c r="A93" s="40" t="inlineStr">
        <is>
          <t>التكاليف الثابتة و EBITDA</t>
        </is>
      </c>
      <c r="B93" s="41" t="n"/>
      <c r="C93" s="41" t="n"/>
      <c r="D93" s="41" t="n"/>
      <c r="E93" s="41" t="n"/>
      <c r="F93" s="41" t="n"/>
      <c r="G93" s="41" t="n"/>
      <c r="H93" s="41" t="n"/>
      <c r="I93" s="41" t="n"/>
      <c r="J93" s="41" t="n"/>
      <c r="K93" s="41" t="n"/>
      <c r="L93" s="41" t="n"/>
      <c r="M93" s="41" t="n"/>
      <c r="N93" s="41" t="n"/>
      <c r="O93" s="41" t="n"/>
      <c r="P93" s="41" t="n"/>
      <c r="Q93" s="41" t="n"/>
      <c r="R93" s="41" t="n"/>
      <c r="S93" s="41" t="n"/>
      <c r="T93" s="41" t="n"/>
      <c r="U93" s="41" t="n"/>
      <c r="V93" s="41" t="n"/>
      <c r="W93" s="41" t="n"/>
      <c r="X93" s="41" t="n"/>
      <c r="Y93" s="41" t="n"/>
      <c r="Z93" s="41" t="n"/>
      <c r="AA93" s="41" t="n"/>
      <c r="AB93" s="41" t="n"/>
      <c r="AC93" s="41" t="n"/>
      <c r="AD93" s="41" t="n"/>
      <c r="AE93" s="41" t="n"/>
      <c r="AF93" s="41" t="n"/>
      <c r="AG93" s="41" t="n"/>
      <c r="AH93" s="41" t="n"/>
      <c r="AI93" s="41" t="n"/>
      <c r="AJ93" s="41" t="n"/>
      <c r="AK93" s="41" t="n"/>
      <c r="AL93" s="41" t="n"/>
      <c r="AM93" s="41" t="n"/>
      <c r="AN93" s="41" t="n"/>
      <c r="AO93" s="41" t="n"/>
      <c r="AP93" s="41" t="n"/>
      <c r="AQ93" s="41" t="n"/>
      <c r="AR93" s="41" t="n"/>
      <c r="AS93" s="41" t="n"/>
      <c r="AT93" s="41" t="n"/>
      <c r="AU93" s="41" t="n"/>
      <c r="AV93" s="41" t="n"/>
      <c r="AW93" s="41" t="n"/>
      <c r="AX93" s="41" t="n"/>
      <c r="AY93" s="41" t="n"/>
      <c r="AZ93" s="41" t="n"/>
      <c r="BA93" s="41" t="n"/>
      <c r="BB93" s="41" t="n"/>
      <c r="BC93" s="41" t="n"/>
      <c r="BD93" s="41" t="n"/>
      <c r="BE93" s="41" t="n"/>
      <c r="BF93" s="41" t="n"/>
      <c r="BG93" s="41" t="n"/>
      <c r="BH93" s="41" t="n"/>
      <c r="BI93" s="41" t="n"/>
      <c r="BJ93" s="41" t="n"/>
      <c r="BK93" s="41" t="n"/>
      <c r="BL93" s="41" t="n"/>
      <c r="BM93" s="41" t="n"/>
    </row>
    <row r="94">
      <c r="A94" s="4" t="inlineStr">
        <is>
          <t>الهبات العاملة</t>
        </is>
      </c>
      <c r="B94" s="22" t="inlineStr">
        <is>
          <t>#</t>
        </is>
      </c>
      <c r="C94" s="43">
        <f>C8*(1+IF(C7&gt;='الافتراضات'!$C$20,1,0)+IF(C7&gt;='الافتراضات'!$C$21,1,0))+C47</f>
        <v/>
      </c>
      <c r="D94" s="43">
        <f>D8*(1+IF(D7&gt;='الافتراضات'!$C$20,1,0)+IF(D7&gt;='الافتراضات'!$C$21,1,0))+D47</f>
        <v/>
      </c>
      <c r="E94" s="43">
        <f>E8*(1+IF(E7&gt;='الافتراضات'!$C$20,1,0)+IF(E7&gt;='الافتراضات'!$C$21,1,0))+E47</f>
        <v/>
      </c>
      <c r="F94" s="43">
        <f>F8*(1+IF(F7&gt;='الافتراضات'!$C$20,1,0)+IF(F7&gt;='الافتراضات'!$C$21,1,0))+F47</f>
        <v/>
      </c>
      <c r="G94" s="43">
        <f>G8*(1+IF(G7&gt;='الافتراضات'!$C$20,1,0)+IF(G7&gt;='الافتراضات'!$C$21,1,0))+G47</f>
        <v/>
      </c>
      <c r="H94" s="43">
        <f>H8*(1+IF(H7&gt;='الافتراضات'!$C$20,1,0)+IF(H7&gt;='الافتراضات'!$C$21,1,0))+H47</f>
        <v/>
      </c>
      <c r="I94" s="43">
        <f>I8*(1+IF(I7&gt;='الافتراضات'!$C$20,1,0)+IF(I7&gt;='الافتراضات'!$C$21,1,0))+I47</f>
        <v/>
      </c>
      <c r="J94" s="43">
        <f>J8*(1+IF(J7&gt;='الافتراضات'!$C$20,1,0)+IF(J7&gt;='الافتراضات'!$C$21,1,0))+J47</f>
        <v/>
      </c>
      <c r="K94" s="43">
        <f>K8*(1+IF(K7&gt;='الافتراضات'!$C$20,1,0)+IF(K7&gt;='الافتراضات'!$C$21,1,0))+K47</f>
        <v/>
      </c>
      <c r="L94" s="43">
        <f>L8*(1+IF(L7&gt;='الافتراضات'!$C$20,1,0)+IF(L7&gt;='الافتراضات'!$C$21,1,0))+L47</f>
        <v/>
      </c>
      <c r="M94" s="43">
        <f>M8*(1+IF(M7&gt;='الافتراضات'!$C$20,1,0)+IF(M7&gt;='الافتراضات'!$C$21,1,0))+M47</f>
        <v/>
      </c>
      <c r="N94" s="43">
        <f>N8*(1+IF(N7&gt;='الافتراضات'!$C$20,1,0)+IF(N7&gt;='الافتراضات'!$C$21,1,0))+N47</f>
        <v/>
      </c>
      <c r="O94" s="43">
        <f>O8*(1+IF(O7&gt;='الافتراضات'!$C$20,1,0)+IF(O7&gt;='الافتراضات'!$C$21,1,0))+O47</f>
        <v/>
      </c>
      <c r="P94" s="43">
        <f>P8*(1+IF(P7&gt;='الافتراضات'!$C$20,1,0)+IF(P7&gt;='الافتراضات'!$C$21,1,0))+P47</f>
        <v/>
      </c>
      <c r="Q94" s="43">
        <f>Q8*(1+IF(Q7&gt;='الافتراضات'!$C$20,1,0)+IF(Q7&gt;='الافتراضات'!$C$21,1,0))+Q47</f>
        <v/>
      </c>
      <c r="R94" s="43">
        <f>R8*(1+IF(R7&gt;='الافتراضات'!$C$20,1,0)+IF(R7&gt;='الافتراضات'!$C$21,1,0))+R47</f>
        <v/>
      </c>
      <c r="S94" s="43">
        <f>S8*(1+IF(S7&gt;='الافتراضات'!$C$20,1,0)+IF(S7&gt;='الافتراضات'!$C$21,1,0))+S47</f>
        <v/>
      </c>
      <c r="T94" s="43">
        <f>T8*(1+IF(T7&gt;='الافتراضات'!$C$20,1,0)+IF(T7&gt;='الافتراضات'!$C$21,1,0))+T47</f>
        <v/>
      </c>
      <c r="U94" s="43">
        <f>U8*(1+IF(U7&gt;='الافتراضات'!$C$20,1,0)+IF(U7&gt;='الافتراضات'!$C$21,1,0))+U47</f>
        <v/>
      </c>
      <c r="V94" s="43">
        <f>V8*(1+IF(V7&gt;='الافتراضات'!$C$20,1,0)+IF(V7&gt;='الافتراضات'!$C$21,1,0))+V47</f>
        <v/>
      </c>
      <c r="W94" s="43">
        <f>W8*(1+IF(W7&gt;='الافتراضات'!$C$20,1,0)+IF(W7&gt;='الافتراضات'!$C$21,1,0))+W47</f>
        <v/>
      </c>
      <c r="X94" s="43">
        <f>X8*(1+IF(X7&gt;='الافتراضات'!$C$20,1,0)+IF(X7&gt;='الافتراضات'!$C$21,1,0))+X47</f>
        <v/>
      </c>
      <c r="Y94" s="43">
        <f>Y8*(1+IF(Y7&gt;='الافتراضات'!$C$20,1,0)+IF(Y7&gt;='الافتراضات'!$C$21,1,0))+Y47</f>
        <v/>
      </c>
      <c r="Z94" s="43">
        <f>Z8*(1+IF(Z7&gt;='الافتراضات'!$C$20,1,0)+IF(Z7&gt;='الافتراضات'!$C$21,1,0))+Z47</f>
        <v/>
      </c>
      <c r="AA94" s="43">
        <f>AA8*(1+IF(AA7&gt;='الافتراضات'!$C$20,1,0)+IF(AA7&gt;='الافتراضات'!$C$21,1,0))+AA47</f>
        <v/>
      </c>
      <c r="AB94" s="43">
        <f>AB8*(1+IF(AB7&gt;='الافتراضات'!$C$20,1,0)+IF(AB7&gt;='الافتراضات'!$C$21,1,0))+AB47</f>
        <v/>
      </c>
      <c r="AC94" s="43">
        <f>AC8*(1+IF(AC7&gt;='الافتراضات'!$C$20,1,0)+IF(AC7&gt;='الافتراضات'!$C$21,1,0))+AC47</f>
        <v/>
      </c>
      <c r="AD94" s="43">
        <f>AD8*(1+IF(AD7&gt;='الافتراضات'!$C$20,1,0)+IF(AD7&gt;='الافتراضات'!$C$21,1,0))+AD47</f>
        <v/>
      </c>
      <c r="AE94" s="43">
        <f>AE8*(1+IF(AE7&gt;='الافتراضات'!$C$20,1,0)+IF(AE7&gt;='الافتراضات'!$C$21,1,0))+AE47</f>
        <v/>
      </c>
      <c r="AF94" s="43">
        <f>AF8*(1+IF(AF7&gt;='الافتراضات'!$C$20,1,0)+IF(AF7&gt;='الافتراضات'!$C$21,1,0))+AF47</f>
        <v/>
      </c>
      <c r="AG94" s="43">
        <f>AG8*(1+IF(AG7&gt;='الافتراضات'!$C$20,1,0)+IF(AG7&gt;='الافتراضات'!$C$21,1,0))+AG47</f>
        <v/>
      </c>
      <c r="AH94" s="43">
        <f>AH8*(1+IF(AH7&gt;='الافتراضات'!$C$20,1,0)+IF(AH7&gt;='الافتراضات'!$C$21,1,0))+AH47</f>
        <v/>
      </c>
      <c r="AI94" s="43">
        <f>AI8*(1+IF(AI7&gt;='الافتراضات'!$C$20,1,0)+IF(AI7&gt;='الافتراضات'!$C$21,1,0))+AI47</f>
        <v/>
      </c>
      <c r="AJ94" s="43">
        <f>AJ8*(1+IF(AJ7&gt;='الافتراضات'!$C$20,1,0)+IF(AJ7&gt;='الافتراضات'!$C$21,1,0))+AJ47</f>
        <v/>
      </c>
      <c r="AK94" s="43">
        <f>AK8*(1+IF(AK7&gt;='الافتراضات'!$C$20,1,0)+IF(AK7&gt;='الافتراضات'!$C$21,1,0))+AK47</f>
        <v/>
      </c>
      <c r="AL94" s="43">
        <f>AL8*(1+IF(AL7&gt;='الافتراضات'!$C$20,1,0)+IF(AL7&gt;='الافتراضات'!$C$21,1,0))+AL47</f>
        <v/>
      </c>
      <c r="AM94" s="43">
        <f>AM8*(1+IF(AM7&gt;='الافتراضات'!$C$20,1,0)+IF(AM7&gt;='الافتراضات'!$C$21,1,0))+AM47</f>
        <v/>
      </c>
      <c r="AN94" s="43">
        <f>AN8*(1+IF(AN7&gt;='الافتراضات'!$C$20,1,0)+IF(AN7&gt;='الافتراضات'!$C$21,1,0))+AN47</f>
        <v/>
      </c>
      <c r="AO94" s="43">
        <f>AO8*(1+IF(AO7&gt;='الافتراضات'!$C$20,1,0)+IF(AO7&gt;='الافتراضات'!$C$21,1,0))+AO47</f>
        <v/>
      </c>
      <c r="AP94" s="43">
        <f>AP8*(1+IF(AP7&gt;='الافتراضات'!$C$20,1,0)+IF(AP7&gt;='الافتراضات'!$C$21,1,0))+AP47</f>
        <v/>
      </c>
      <c r="AQ94" s="43">
        <f>AQ8*(1+IF(AQ7&gt;='الافتراضات'!$C$20,1,0)+IF(AQ7&gt;='الافتراضات'!$C$21,1,0))+AQ47</f>
        <v/>
      </c>
      <c r="AR94" s="43">
        <f>AR8*(1+IF(AR7&gt;='الافتراضات'!$C$20,1,0)+IF(AR7&gt;='الافتراضات'!$C$21,1,0))+AR47</f>
        <v/>
      </c>
      <c r="AS94" s="43">
        <f>AS8*(1+IF(AS7&gt;='الافتراضات'!$C$20,1,0)+IF(AS7&gt;='الافتراضات'!$C$21,1,0))+AS47</f>
        <v/>
      </c>
      <c r="AT94" s="43">
        <f>AT8*(1+IF(AT7&gt;='الافتراضات'!$C$20,1,0)+IF(AT7&gt;='الافتراضات'!$C$21,1,0))+AT47</f>
        <v/>
      </c>
      <c r="AU94" s="43">
        <f>AU8*(1+IF(AU7&gt;='الافتراضات'!$C$20,1,0)+IF(AU7&gt;='الافتراضات'!$C$21,1,0))+AU47</f>
        <v/>
      </c>
      <c r="AV94" s="43">
        <f>AV8*(1+IF(AV7&gt;='الافتراضات'!$C$20,1,0)+IF(AV7&gt;='الافتراضات'!$C$21,1,0))+AV47</f>
        <v/>
      </c>
      <c r="AW94" s="43">
        <f>AW8*(1+IF(AW7&gt;='الافتراضات'!$C$20,1,0)+IF(AW7&gt;='الافتراضات'!$C$21,1,0))+AW47</f>
        <v/>
      </c>
      <c r="AX94" s="43">
        <f>AX8*(1+IF(AX7&gt;='الافتراضات'!$C$20,1,0)+IF(AX7&gt;='الافتراضات'!$C$21,1,0))+AX47</f>
        <v/>
      </c>
      <c r="AY94" s="43">
        <f>AY8*(1+IF(AY7&gt;='الافتراضات'!$C$20,1,0)+IF(AY7&gt;='الافتراضات'!$C$21,1,0))+AY47</f>
        <v/>
      </c>
      <c r="AZ94" s="43">
        <f>AZ8*(1+IF(AZ7&gt;='الافتراضات'!$C$20,1,0)+IF(AZ7&gt;='الافتراضات'!$C$21,1,0))+AZ47</f>
        <v/>
      </c>
      <c r="BA94" s="43">
        <f>BA8*(1+IF(BA7&gt;='الافتراضات'!$C$20,1,0)+IF(BA7&gt;='الافتراضات'!$C$21,1,0))+BA47</f>
        <v/>
      </c>
      <c r="BB94" s="43">
        <f>BB8*(1+IF(BB7&gt;='الافتراضات'!$C$20,1,0)+IF(BB7&gt;='الافتراضات'!$C$21,1,0))+BB47</f>
        <v/>
      </c>
      <c r="BC94" s="43">
        <f>BC8*(1+IF(BC7&gt;='الافتراضات'!$C$20,1,0)+IF(BC7&gt;='الافتراضات'!$C$21,1,0))+BC47</f>
        <v/>
      </c>
      <c r="BD94" s="43">
        <f>BD8*(1+IF(BD7&gt;='الافتراضات'!$C$20,1,0)+IF(BD7&gt;='الافتراضات'!$C$21,1,0))+BD47</f>
        <v/>
      </c>
      <c r="BE94" s="43">
        <f>BE8*(1+IF(BE7&gt;='الافتراضات'!$C$20,1,0)+IF(BE7&gt;='الافتراضات'!$C$21,1,0))+BE47</f>
        <v/>
      </c>
      <c r="BF94" s="43">
        <f>BF8*(1+IF(BF7&gt;='الافتراضات'!$C$20,1,0)+IF(BF7&gt;='الافتراضات'!$C$21,1,0))+BF47</f>
        <v/>
      </c>
      <c r="BG94" s="43">
        <f>BG8*(1+IF(BG7&gt;='الافتراضات'!$C$20,1,0)+IF(BG7&gt;='الافتراضات'!$C$21,1,0))+BG47</f>
        <v/>
      </c>
      <c r="BH94" s="43">
        <f>BH8*(1+IF(BH7&gt;='الافتراضات'!$C$20,1,0)+IF(BH7&gt;='الافتراضات'!$C$21,1,0))+BH47</f>
        <v/>
      </c>
      <c r="BI94" s="43">
        <f>BI8*(1+IF(BI7&gt;='الافتراضات'!$C$20,1,0)+IF(BI7&gt;='الافتراضات'!$C$21,1,0))+BI47</f>
        <v/>
      </c>
      <c r="BJ94" s="43">
        <f>BJ8*(1+IF(BJ7&gt;='الافتراضات'!$C$20,1,0)+IF(BJ7&gt;='الافتراضات'!$C$21,1,0))+BJ47</f>
        <v/>
      </c>
      <c r="BK94" s="43">
        <f>BK8*(1+IF(BK7&gt;='الافتراضات'!$C$20,1,0)+IF(BK7&gt;='الافتراضات'!$C$21,1,0))+BK47</f>
        <v/>
      </c>
      <c r="BL94" s="43">
        <f>BL8*(1+IF(BL7&gt;='الافتراضات'!$C$20,1,0)+IF(BL7&gt;='الافتراضات'!$C$21,1,0))+BL47</f>
        <v/>
      </c>
      <c r="BM94" s="43">
        <f>BM8*(1+IF(BM7&gt;='الافتراضات'!$C$20,1,0)+IF(BM7&gt;='الافتراضات'!$C$21,1,0))+BM47</f>
        <v/>
      </c>
    </row>
    <row r="95">
      <c r="A95" s="4" t="inlineStr">
        <is>
          <t>إيجار الهب والمرافق والفريق الأساسي</t>
        </is>
      </c>
      <c r="B95" s="22" t="inlineStr">
        <is>
          <t>ج.م</t>
        </is>
      </c>
      <c r="C95" s="45">
        <f>C94*(INDEX('الافتراضات'!$C$75:$G$75,C$9)+INDEX('الافتراضات'!$C$76:$G$76,C$9)+INDEX('الافتراضات'!$C$77:$G$77,C$9))</f>
        <v/>
      </c>
      <c r="D95" s="45">
        <f>D94*(INDEX('الافتراضات'!$C$75:$G$75,D$9)+INDEX('الافتراضات'!$C$76:$G$76,D$9)+INDEX('الافتراضات'!$C$77:$G$77,D$9))</f>
        <v/>
      </c>
      <c r="E95" s="45">
        <f>E94*(INDEX('الافتراضات'!$C$75:$G$75,E$9)+INDEX('الافتراضات'!$C$76:$G$76,E$9)+INDEX('الافتراضات'!$C$77:$G$77,E$9))</f>
        <v/>
      </c>
      <c r="F95" s="45">
        <f>F94*(INDEX('الافتراضات'!$C$75:$G$75,F$9)+INDEX('الافتراضات'!$C$76:$G$76,F$9)+INDEX('الافتراضات'!$C$77:$G$77,F$9))</f>
        <v/>
      </c>
      <c r="G95" s="45">
        <f>G94*(INDEX('الافتراضات'!$C$75:$G$75,G$9)+INDEX('الافتراضات'!$C$76:$G$76,G$9)+INDEX('الافتراضات'!$C$77:$G$77,G$9))</f>
        <v/>
      </c>
      <c r="H95" s="45">
        <f>H94*(INDEX('الافتراضات'!$C$75:$G$75,H$9)+INDEX('الافتراضات'!$C$76:$G$76,H$9)+INDEX('الافتراضات'!$C$77:$G$77,H$9))</f>
        <v/>
      </c>
      <c r="I95" s="45">
        <f>I94*(INDEX('الافتراضات'!$C$75:$G$75,I$9)+INDEX('الافتراضات'!$C$76:$G$76,I$9)+INDEX('الافتراضات'!$C$77:$G$77,I$9))</f>
        <v/>
      </c>
      <c r="J95" s="45">
        <f>J94*(INDEX('الافتراضات'!$C$75:$G$75,J$9)+INDEX('الافتراضات'!$C$76:$G$76,J$9)+INDEX('الافتراضات'!$C$77:$G$77,J$9))</f>
        <v/>
      </c>
      <c r="K95" s="45">
        <f>K94*(INDEX('الافتراضات'!$C$75:$G$75,K$9)+INDEX('الافتراضات'!$C$76:$G$76,K$9)+INDEX('الافتراضات'!$C$77:$G$77,K$9))</f>
        <v/>
      </c>
      <c r="L95" s="45">
        <f>L94*(INDEX('الافتراضات'!$C$75:$G$75,L$9)+INDEX('الافتراضات'!$C$76:$G$76,L$9)+INDEX('الافتراضات'!$C$77:$G$77,L$9))</f>
        <v/>
      </c>
      <c r="M95" s="45">
        <f>M94*(INDEX('الافتراضات'!$C$75:$G$75,M$9)+INDEX('الافتراضات'!$C$76:$G$76,M$9)+INDEX('الافتراضات'!$C$77:$G$77,M$9))</f>
        <v/>
      </c>
      <c r="N95" s="45">
        <f>N94*(INDEX('الافتراضات'!$C$75:$G$75,N$9)+INDEX('الافتراضات'!$C$76:$G$76,N$9)+INDEX('الافتراضات'!$C$77:$G$77,N$9))</f>
        <v/>
      </c>
      <c r="O95" s="45">
        <f>O94*(INDEX('الافتراضات'!$C$75:$G$75,O$9)+INDEX('الافتراضات'!$C$76:$G$76,O$9)+INDEX('الافتراضات'!$C$77:$G$77,O$9))</f>
        <v/>
      </c>
      <c r="P95" s="45">
        <f>P94*(INDEX('الافتراضات'!$C$75:$G$75,P$9)+INDEX('الافتراضات'!$C$76:$G$76,P$9)+INDEX('الافتراضات'!$C$77:$G$77,P$9))</f>
        <v/>
      </c>
      <c r="Q95" s="45">
        <f>Q94*(INDEX('الافتراضات'!$C$75:$G$75,Q$9)+INDEX('الافتراضات'!$C$76:$G$76,Q$9)+INDEX('الافتراضات'!$C$77:$G$77,Q$9))</f>
        <v/>
      </c>
      <c r="R95" s="45">
        <f>R94*(INDEX('الافتراضات'!$C$75:$G$75,R$9)+INDEX('الافتراضات'!$C$76:$G$76,R$9)+INDEX('الافتراضات'!$C$77:$G$77,R$9))</f>
        <v/>
      </c>
      <c r="S95" s="45">
        <f>S94*(INDEX('الافتراضات'!$C$75:$G$75,S$9)+INDEX('الافتراضات'!$C$76:$G$76,S$9)+INDEX('الافتراضات'!$C$77:$G$77,S$9))</f>
        <v/>
      </c>
      <c r="T95" s="45">
        <f>T94*(INDEX('الافتراضات'!$C$75:$G$75,T$9)+INDEX('الافتراضات'!$C$76:$G$76,T$9)+INDEX('الافتراضات'!$C$77:$G$77,T$9))</f>
        <v/>
      </c>
      <c r="U95" s="45">
        <f>U94*(INDEX('الافتراضات'!$C$75:$G$75,U$9)+INDEX('الافتراضات'!$C$76:$G$76,U$9)+INDEX('الافتراضات'!$C$77:$G$77,U$9))</f>
        <v/>
      </c>
      <c r="V95" s="45">
        <f>V94*(INDEX('الافتراضات'!$C$75:$G$75,V$9)+INDEX('الافتراضات'!$C$76:$G$76,V$9)+INDEX('الافتراضات'!$C$77:$G$77,V$9))</f>
        <v/>
      </c>
      <c r="W95" s="45">
        <f>W94*(INDEX('الافتراضات'!$C$75:$G$75,W$9)+INDEX('الافتراضات'!$C$76:$G$76,W$9)+INDEX('الافتراضات'!$C$77:$G$77,W$9))</f>
        <v/>
      </c>
      <c r="X95" s="45">
        <f>X94*(INDEX('الافتراضات'!$C$75:$G$75,X$9)+INDEX('الافتراضات'!$C$76:$G$76,X$9)+INDEX('الافتراضات'!$C$77:$G$77,X$9))</f>
        <v/>
      </c>
      <c r="Y95" s="45">
        <f>Y94*(INDEX('الافتراضات'!$C$75:$G$75,Y$9)+INDEX('الافتراضات'!$C$76:$G$76,Y$9)+INDEX('الافتراضات'!$C$77:$G$77,Y$9))</f>
        <v/>
      </c>
      <c r="Z95" s="45">
        <f>Z94*(INDEX('الافتراضات'!$C$75:$G$75,Z$9)+INDEX('الافتراضات'!$C$76:$G$76,Z$9)+INDEX('الافتراضات'!$C$77:$G$77,Z$9))</f>
        <v/>
      </c>
      <c r="AA95" s="45">
        <f>AA94*(INDEX('الافتراضات'!$C$75:$G$75,AA$9)+INDEX('الافتراضات'!$C$76:$G$76,AA$9)+INDEX('الافتراضات'!$C$77:$G$77,AA$9))</f>
        <v/>
      </c>
      <c r="AB95" s="45">
        <f>AB94*(INDEX('الافتراضات'!$C$75:$G$75,AB$9)+INDEX('الافتراضات'!$C$76:$G$76,AB$9)+INDEX('الافتراضات'!$C$77:$G$77,AB$9))</f>
        <v/>
      </c>
      <c r="AC95" s="45">
        <f>AC94*(INDEX('الافتراضات'!$C$75:$G$75,AC$9)+INDEX('الافتراضات'!$C$76:$G$76,AC$9)+INDEX('الافتراضات'!$C$77:$G$77,AC$9))</f>
        <v/>
      </c>
      <c r="AD95" s="45">
        <f>AD94*(INDEX('الافتراضات'!$C$75:$G$75,AD$9)+INDEX('الافتراضات'!$C$76:$G$76,AD$9)+INDEX('الافتراضات'!$C$77:$G$77,AD$9))</f>
        <v/>
      </c>
      <c r="AE95" s="45">
        <f>AE94*(INDEX('الافتراضات'!$C$75:$G$75,AE$9)+INDEX('الافتراضات'!$C$76:$G$76,AE$9)+INDEX('الافتراضات'!$C$77:$G$77,AE$9))</f>
        <v/>
      </c>
      <c r="AF95" s="45">
        <f>AF94*(INDEX('الافتراضات'!$C$75:$G$75,AF$9)+INDEX('الافتراضات'!$C$76:$G$76,AF$9)+INDEX('الافتراضات'!$C$77:$G$77,AF$9))</f>
        <v/>
      </c>
      <c r="AG95" s="45">
        <f>AG94*(INDEX('الافتراضات'!$C$75:$G$75,AG$9)+INDEX('الافتراضات'!$C$76:$G$76,AG$9)+INDEX('الافتراضات'!$C$77:$G$77,AG$9))</f>
        <v/>
      </c>
      <c r="AH95" s="45">
        <f>AH94*(INDEX('الافتراضات'!$C$75:$G$75,AH$9)+INDEX('الافتراضات'!$C$76:$G$76,AH$9)+INDEX('الافتراضات'!$C$77:$G$77,AH$9))</f>
        <v/>
      </c>
      <c r="AI95" s="45">
        <f>AI94*(INDEX('الافتراضات'!$C$75:$G$75,AI$9)+INDEX('الافتراضات'!$C$76:$G$76,AI$9)+INDEX('الافتراضات'!$C$77:$G$77,AI$9))</f>
        <v/>
      </c>
      <c r="AJ95" s="45">
        <f>AJ94*(INDEX('الافتراضات'!$C$75:$G$75,AJ$9)+INDEX('الافتراضات'!$C$76:$G$76,AJ$9)+INDEX('الافتراضات'!$C$77:$G$77,AJ$9))</f>
        <v/>
      </c>
      <c r="AK95" s="45">
        <f>AK94*(INDEX('الافتراضات'!$C$75:$G$75,AK$9)+INDEX('الافتراضات'!$C$76:$G$76,AK$9)+INDEX('الافتراضات'!$C$77:$G$77,AK$9))</f>
        <v/>
      </c>
      <c r="AL95" s="45">
        <f>AL94*(INDEX('الافتراضات'!$C$75:$G$75,AL$9)+INDEX('الافتراضات'!$C$76:$G$76,AL$9)+INDEX('الافتراضات'!$C$77:$G$77,AL$9))</f>
        <v/>
      </c>
      <c r="AM95" s="45">
        <f>AM94*(INDEX('الافتراضات'!$C$75:$G$75,AM$9)+INDEX('الافتراضات'!$C$76:$G$76,AM$9)+INDEX('الافتراضات'!$C$77:$G$77,AM$9))</f>
        <v/>
      </c>
      <c r="AN95" s="45">
        <f>AN94*(INDEX('الافتراضات'!$C$75:$G$75,AN$9)+INDEX('الافتراضات'!$C$76:$G$76,AN$9)+INDEX('الافتراضات'!$C$77:$G$77,AN$9))</f>
        <v/>
      </c>
      <c r="AO95" s="45">
        <f>AO94*(INDEX('الافتراضات'!$C$75:$G$75,AO$9)+INDEX('الافتراضات'!$C$76:$G$76,AO$9)+INDEX('الافتراضات'!$C$77:$G$77,AO$9))</f>
        <v/>
      </c>
      <c r="AP95" s="45">
        <f>AP94*(INDEX('الافتراضات'!$C$75:$G$75,AP$9)+INDEX('الافتراضات'!$C$76:$G$76,AP$9)+INDEX('الافتراضات'!$C$77:$G$77,AP$9))</f>
        <v/>
      </c>
      <c r="AQ95" s="45">
        <f>AQ94*(INDEX('الافتراضات'!$C$75:$G$75,AQ$9)+INDEX('الافتراضات'!$C$76:$G$76,AQ$9)+INDEX('الافتراضات'!$C$77:$G$77,AQ$9))</f>
        <v/>
      </c>
      <c r="AR95" s="45">
        <f>AR94*(INDEX('الافتراضات'!$C$75:$G$75,AR$9)+INDEX('الافتراضات'!$C$76:$G$76,AR$9)+INDEX('الافتراضات'!$C$77:$G$77,AR$9))</f>
        <v/>
      </c>
      <c r="AS95" s="45">
        <f>AS94*(INDEX('الافتراضات'!$C$75:$G$75,AS$9)+INDEX('الافتراضات'!$C$76:$G$76,AS$9)+INDEX('الافتراضات'!$C$77:$G$77,AS$9))</f>
        <v/>
      </c>
      <c r="AT95" s="45">
        <f>AT94*(INDEX('الافتراضات'!$C$75:$G$75,AT$9)+INDEX('الافتراضات'!$C$76:$G$76,AT$9)+INDEX('الافتراضات'!$C$77:$G$77,AT$9))</f>
        <v/>
      </c>
      <c r="AU95" s="45">
        <f>AU94*(INDEX('الافتراضات'!$C$75:$G$75,AU$9)+INDEX('الافتراضات'!$C$76:$G$76,AU$9)+INDEX('الافتراضات'!$C$77:$G$77,AU$9))</f>
        <v/>
      </c>
      <c r="AV95" s="45">
        <f>AV94*(INDEX('الافتراضات'!$C$75:$G$75,AV$9)+INDEX('الافتراضات'!$C$76:$G$76,AV$9)+INDEX('الافتراضات'!$C$77:$G$77,AV$9))</f>
        <v/>
      </c>
      <c r="AW95" s="45">
        <f>AW94*(INDEX('الافتراضات'!$C$75:$G$75,AW$9)+INDEX('الافتراضات'!$C$76:$G$76,AW$9)+INDEX('الافتراضات'!$C$77:$G$77,AW$9))</f>
        <v/>
      </c>
      <c r="AX95" s="45">
        <f>AX94*(INDEX('الافتراضات'!$C$75:$G$75,AX$9)+INDEX('الافتراضات'!$C$76:$G$76,AX$9)+INDEX('الافتراضات'!$C$77:$G$77,AX$9))</f>
        <v/>
      </c>
      <c r="AY95" s="45">
        <f>AY94*(INDEX('الافتراضات'!$C$75:$G$75,AY$9)+INDEX('الافتراضات'!$C$76:$G$76,AY$9)+INDEX('الافتراضات'!$C$77:$G$77,AY$9))</f>
        <v/>
      </c>
      <c r="AZ95" s="45">
        <f>AZ94*(INDEX('الافتراضات'!$C$75:$G$75,AZ$9)+INDEX('الافتراضات'!$C$76:$G$76,AZ$9)+INDEX('الافتراضات'!$C$77:$G$77,AZ$9))</f>
        <v/>
      </c>
      <c r="BA95" s="45">
        <f>BA94*(INDEX('الافتراضات'!$C$75:$G$75,BA$9)+INDEX('الافتراضات'!$C$76:$G$76,BA$9)+INDEX('الافتراضات'!$C$77:$G$77,BA$9))</f>
        <v/>
      </c>
      <c r="BB95" s="45">
        <f>BB94*(INDEX('الافتراضات'!$C$75:$G$75,BB$9)+INDEX('الافتراضات'!$C$76:$G$76,BB$9)+INDEX('الافتراضات'!$C$77:$G$77,BB$9))</f>
        <v/>
      </c>
      <c r="BC95" s="45">
        <f>BC94*(INDEX('الافتراضات'!$C$75:$G$75,BC$9)+INDEX('الافتراضات'!$C$76:$G$76,BC$9)+INDEX('الافتراضات'!$C$77:$G$77,BC$9))</f>
        <v/>
      </c>
      <c r="BD95" s="45">
        <f>BD94*(INDEX('الافتراضات'!$C$75:$G$75,BD$9)+INDEX('الافتراضات'!$C$76:$G$76,BD$9)+INDEX('الافتراضات'!$C$77:$G$77,BD$9))</f>
        <v/>
      </c>
      <c r="BE95" s="45">
        <f>BE94*(INDEX('الافتراضات'!$C$75:$G$75,BE$9)+INDEX('الافتراضات'!$C$76:$G$76,BE$9)+INDEX('الافتراضات'!$C$77:$G$77,BE$9))</f>
        <v/>
      </c>
      <c r="BF95" s="45">
        <f>BF94*(INDEX('الافتراضات'!$C$75:$G$75,BF$9)+INDEX('الافتراضات'!$C$76:$G$76,BF$9)+INDEX('الافتراضات'!$C$77:$G$77,BF$9))</f>
        <v/>
      </c>
      <c r="BG95" s="45">
        <f>BG94*(INDEX('الافتراضات'!$C$75:$G$75,BG$9)+INDEX('الافتراضات'!$C$76:$G$76,BG$9)+INDEX('الافتراضات'!$C$77:$G$77,BG$9))</f>
        <v/>
      </c>
      <c r="BH95" s="45">
        <f>BH94*(INDEX('الافتراضات'!$C$75:$G$75,BH$9)+INDEX('الافتراضات'!$C$76:$G$76,BH$9)+INDEX('الافتراضات'!$C$77:$G$77,BH$9))</f>
        <v/>
      </c>
      <c r="BI95" s="45">
        <f>BI94*(INDEX('الافتراضات'!$C$75:$G$75,BI$9)+INDEX('الافتراضات'!$C$76:$G$76,BI$9)+INDEX('الافتراضات'!$C$77:$G$77,BI$9))</f>
        <v/>
      </c>
      <c r="BJ95" s="45">
        <f>BJ94*(INDEX('الافتراضات'!$C$75:$G$75,BJ$9)+INDEX('الافتراضات'!$C$76:$G$76,BJ$9)+INDEX('الافتراضات'!$C$77:$G$77,BJ$9))</f>
        <v/>
      </c>
      <c r="BK95" s="45">
        <f>BK94*(INDEX('الافتراضات'!$C$75:$G$75,BK$9)+INDEX('الافتراضات'!$C$76:$G$76,BK$9)+INDEX('الافتراضات'!$C$77:$G$77,BK$9))</f>
        <v/>
      </c>
      <c r="BL95" s="45">
        <f>BL94*(INDEX('الافتراضات'!$C$75:$G$75,BL$9)+INDEX('الافتراضات'!$C$76:$G$76,BL$9)+INDEX('الافتراضات'!$C$77:$G$77,BL$9))</f>
        <v/>
      </c>
      <c r="BM95" s="45">
        <f>BM94*(INDEX('الافتراضات'!$C$75:$G$75,BM$9)+INDEX('الافتراضات'!$C$76:$G$76,BM$9)+INDEX('الافتراضات'!$C$77:$G$77,BM$9))</f>
        <v/>
      </c>
    </row>
    <row r="96">
      <c r="A96" s="4" t="inlineStr">
        <is>
          <t>الإشراف على المناديب والتوزيع</t>
        </is>
      </c>
      <c r="B96" s="22" t="inlineStr">
        <is>
          <t>ج.م</t>
        </is>
      </c>
      <c r="C96" s="45">
        <f>C8*INDEX('الافتراضات'!$C$78:$G$78,C$9)</f>
        <v/>
      </c>
      <c r="D96" s="45">
        <f>D8*INDEX('الافتراضات'!$C$78:$G$78,D$9)</f>
        <v/>
      </c>
      <c r="E96" s="45">
        <f>E8*INDEX('الافتراضات'!$C$78:$G$78,E$9)</f>
        <v/>
      </c>
      <c r="F96" s="45">
        <f>F8*INDEX('الافتراضات'!$C$78:$G$78,F$9)</f>
        <v/>
      </c>
      <c r="G96" s="45">
        <f>G8*INDEX('الافتراضات'!$C$78:$G$78,G$9)</f>
        <v/>
      </c>
      <c r="H96" s="45">
        <f>H8*INDEX('الافتراضات'!$C$78:$G$78,H$9)</f>
        <v/>
      </c>
      <c r="I96" s="45">
        <f>I8*INDEX('الافتراضات'!$C$78:$G$78,I$9)</f>
        <v/>
      </c>
      <c r="J96" s="45">
        <f>J8*INDEX('الافتراضات'!$C$78:$G$78,J$9)</f>
        <v/>
      </c>
      <c r="K96" s="45">
        <f>K8*INDEX('الافتراضات'!$C$78:$G$78,K$9)</f>
        <v/>
      </c>
      <c r="L96" s="45">
        <f>L8*INDEX('الافتراضات'!$C$78:$G$78,L$9)</f>
        <v/>
      </c>
      <c r="M96" s="45">
        <f>M8*INDEX('الافتراضات'!$C$78:$G$78,M$9)</f>
        <v/>
      </c>
      <c r="N96" s="45">
        <f>N8*INDEX('الافتراضات'!$C$78:$G$78,N$9)</f>
        <v/>
      </c>
      <c r="O96" s="45">
        <f>O8*INDEX('الافتراضات'!$C$78:$G$78,O$9)</f>
        <v/>
      </c>
      <c r="P96" s="45">
        <f>P8*INDEX('الافتراضات'!$C$78:$G$78,P$9)</f>
        <v/>
      </c>
      <c r="Q96" s="45">
        <f>Q8*INDEX('الافتراضات'!$C$78:$G$78,Q$9)</f>
        <v/>
      </c>
      <c r="R96" s="45">
        <f>R8*INDEX('الافتراضات'!$C$78:$G$78,R$9)</f>
        <v/>
      </c>
      <c r="S96" s="45">
        <f>S8*INDEX('الافتراضات'!$C$78:$G$78,S$9)</f>
        <v/>
      </c>
      <c r="T96" s="45">
        <f>T8*INDEX('الافتراضات'!$C$78:$G$78,T$9)</f>
        <v/>
      </c>
      <c r="U96" s="45">
        <f>U8*INDEX('الافتراضات'!$C$78:$G$78,U$9)</f>
        <v/>
      </c>
      <c r="V96" s="45">
        <f>V8*INDEX('الافتراضات'!$C$78:$G$78,V$9)</f>
        <v/>
      </c>
      <c r="W96" s="45">
        <f>W8*INDEX('الافتراضات'!$C$78:$G$78,W$9)</f>
        <v/>
      </c>
      <c r="X96" s="45">
        <f>X8*INDEX('الافتراضات'!$C$78:$G$78,X$9)</f>
        <v/>
      </c>
      <c r="Y96" s="45">
        <f>Y8*INDEX('الافتراضات'!$C$78:$G$78,Y$9)</f>
        <v/>
      </c>
      <c r="Z96" s="45">
        <f>Z8*INDEX('الافتراضات'!$C$78:$G$78,Z$9)</f>
        <v/>
      </c>
      <c r="AA96" s="45">
        <f>AA8*INDEX('الافتراضات'!$C$78:$G$78,AA$9)</f>
        <v/>
      </c>
      <c r="AB96" s="45">
        <f>AB8*INDEX('الافتراضات'!$C$78:$G$78,AB$9)</f>
        <v/>
      </c>
      <c r="AC96" s="45">
        <f>AC8*INDEX('الافتراضات'!$C$78:$G$78,AC$9)</f>
        <v/>
      </c>
      <c r="AD96" s="45">
        <f>AD8*INDEX('الافتراضات'!$C$78:$G$78,AD$9)</f>
        <v/>
      </c>
      <c r="AE96" s="45">
        <f>AE8*INDEX('الافتراضات'!$C$78:$G$78,AE$9)</f>
        <v/>
      </c>
      <c r="AF96" s="45">
        <f>AF8*INDEX('الافتراضات'!$C$78:$G$78,AF$9)</f>
        <v/>
      </c>
      <c r="AG96" s="45">
        <f>AG8*INDEX('الافتراضات'!$C$78:$G$78,AG$9)</f>
        <v/>
      </c>
      <c r="AH96" s="45">
        <f>AH8*INDEX('الافتراضات'!$C$78:$G$78,AH$9)</f>
        <v/>
      </c>
      <c r="AI96" s="45">
        <f>AI8*INDEX('الافتراضات'!$C$78:$G$78,AI$9)</f>
        <v/>
      </c>
      <c r="AJ96" s="45">
        <f>AJ8*INDEX('الافتراضات'!$C$78:$G$78,AJ$9)</f>
        <v/>
      </c>
      <c r="AK96" s="45">
        <f>AK8*INDEX('الافتراضات'!$C$78:$G$78,AK$9)</f>
        <v/>
      </c>
      <c r="AL96" s="45">
        <f>AL8*INDEX('الافتراضات'!$C$78:$G$78,AL$9)</f>
        <v/>
      </c>
      <c r="AM96" s="45">
        <f>AM8*INDEX('الافتراضات'!$C$78:$G$78,AM$9)</f>
        <v/>
      </c>
      <c r="AN96" s="45">
        <f>AN8*INDEX('الافتراضات'!$C$78:$G$78,AN$9)</f>
        <v/>
      </c>
      <c r="AO96" s="45">
        <f>AO8*INDEX('الافتراضات'!$C$78:$G$78,AO$9)</f>
        <v/>
      </c>
      <c r="AP96" s="45">
        <f>AP8*INDEX('الافتراضات'!$C$78:$G$78,AP$9)</f>
        <v/>
      </c>
      <c r="AQ96" s="45">
        <f>AQ8*INDEX('الافتراضات'!$C$78:$G$78,AQ$9)</f>
        <v/>
      </c>
      <c r="AR96" s="45">
        <f>AR8*INDEX('الافتراضات'!$C$78:$G$78,AR$9)</f>
        <v/>
      </c>
      <c r="AS96" s="45">
        <f>AS8*INDEX('الافتراضات'!$C$78:$G$78,AS$9)</f>
        <v/>
      </c>
      <c r="AT96" s="45">
        <f>AT8*INDEX('الافتراضات'!$C$78:$G$78,AT$9)</f>
        <v/>
      </c>
      <c r="AU96" s="45">
        <f>AU8*INDEX('الافتراضات'!$C$78:$G$78,AU$9)</f>
        <v/>
      </c>
      <c r="AV96" s="45">
        <f>AV8*INDEX('الافتراضات'!$C$78:$G$78,AV$9)</f>
        <v/>
      </c>
      <c r="AW96" s="45">
        <f>AW8*INDEX('الافتراضات'!$C$78:$G$78,AW$9)</f>
        <v/>
      </c>
      <c r="AX96" s="45">
        <f>AX8*INDEX('الافتراضات'!$C$78:$G$78,AX$9)</f>
        <v/>
      </c>
      <c r="AY96" s="45">
        <f>AY8*INDEX('الافتراضات'!$C$78:$G$78,AY$9)</f>
        <v/>
      </c>
      <c r="AZ96" s="45">
        <f>AZ8*INDEX('الافتراضات'!$C$78:$G$78,AZ$9)</f>
        <v/>
      </c>
      <c r="BA96" s="45">
        <f>BA8*INDEX('الافتراضات'!$C$78:$G$78,BA$9)</f>
        <v/>
      </c>
      <c r="BB96" s="45">
        <f>BB8*INDEX('الافتراضات'!$C$78:$G$78,BB$9)</f>
        <v/>
      </c>
      <c r="BC96" s="45">
        <f>BC8*INDEX('الافتراضات'!$C$78:$G$78,BC$9)</f>
        <v/>
      </c>
      <c r="BD96" s="45">
        <f>BD8*INDEX('الافتراضات'!$C$78:$G$78,BD$9)</f>
        <v/>
      </c>
      <c r="BE96" s="45">
        <f>BE8*INDEX('الافتراضات'!$C$78:$G$78,BE$9)</f>
        <v/>
      </c>
      <c r="BF96" s="45">
        <f>BF8*INDEX('الافتراضات'!$C$78:$G$78,BF$9)</f>
        <v/>
      </c>
      <c r="BG96" s="45">
        <f>BG8*INDEX('الافتراضات'!$C$78:$G$78,BG$9)</f>
        <v/>
      </c>
      <c r="BH96" s="45">
        <f>BH8*INDEX('الافتراضات'!$C$78:$G$78,BH$9)</f>
        <v/>
      </c>
      <c r="BI96" s="45">
        <f>BI8*INDEX('الافتراضات'!$C$78:$G$78,BI$9)</f>
        <v/>
      </c>
      <c r="BJ96" s="45">
        <f>BJ8*INDEX('الافتراضات'!$C$78:$G$78,BJ$9)</f>
        <v/>
      </c>
      <c r="BK96" s="45">
        <f>BK8*INDEX('الافتراضات'!$C$78:$G$78,BK$9)</f>
        <v/>
      </c>
      <c r="BL96" s="45">
        <f>BL8*INDEX('الافتراضات'!$C$78:$G$78,BL$9)</f>
        <v/>
      </c>
      <c r="BM96" s="45">
        <f>BM8*INDEX('الافتراضات'!$C$78:$G$78,BM$9)</f>
        <v/>
      </c>
    </row>
    <row r="97">
      <c r="A97" s="4" t="inlineStr">
        <is>
          <t>فريق خدمة العملاء</t>
        </is>
      </c>
      <c r="B97" s="22" t="inlineStr">
        <is>
          <t>ج.م</t>
        </is>
      </c>
      <c r="C97" s="45">
        <f>C8*INDEX('الافتراضات'!$C$79:$G$79,C$9)</f>
        <v/>
      </c>
      <c r="D97" s="45">
        <f>D8*INDEX('الافتراضات'!$C$79:$G$79,D$9)</f>
        <v/>
      </c>
      <c r="E97" s="45">
        <f>E8*INDEX('الافتراضات'!$C$79:$G$79,E$9)</f>
        <v/>
      </c>
      <c r="F97" s="45">
        <f>F8*INDEX('الافتراضات'!$C$79:$G$79,F$9)</f>
        <v/>
      </c>
      <c r="G97" s="45">
        <f>G8*INDEX('الافتراضات'!$C$79:$G$79,G$9)</f>
        <v/>
      </c>
      <c r="H97" s="45">
        <f>H8*INDEX('الافتراضات'!$C$79:$G$79,H$9)</f>
        <v/>
      </c>
      <c r="I97" s="45">
        <f>I8*INDEX('الافتراضات'!$C$79:$G$79,I$9)</f>
        <v/>
      </c>
      <c r="J97" s="45">
        <f>J8*INDEX('الافتراضات'!$C$79:$G$79,J$9)</f>
        <v/>
      </c>
      <c r="K97" s="45">
        <f>K8*INDEX('الافتراضات'!$C$79:$G$79,K$9)</f>
        <v/>
      </c>
      <c r="L97" s="45">
        <f>L8*INDEX('الافتراضات'!$C$79:$G$79,L$9)</f>
        <v/>
      </c>
      <c r="M97" s="45">
        <f>M8*INDEX('الافتراضات'!$C$79:$G$79,M$9)</f>
        <v/>
      </c>
      <c r="N97" s="45">
        <f>N8*INDEX('الافتراضات'!$C$79:$G$79,N$9)</f>
        <v/>
      </c>
      <c r="O97" s="45">
        <f>O8*INDEX('الافتراضات'!$C$79:$G$79,O$9)</f>
        <v/>
      </c>
      <c r="P97" s="45">
        <f>P8*INDEX('الافتراضات'!$C$79:$G$79,P$9)</f>
        <v/>
      </c>
      <c r="Q97" s="45">
        <f>Q8*INDEX('الافتراضات'!$C$79:$G$79,Q$9)</f>
        <v/>
      </c>
      <c r="R97" s="45">
        <f>R8*INDEX('الافتراضات'!$C$79:$G$79,R$9)</f>
        <v/>
      </c>
      <c r="S97" s="45">
        <f>S8*INDEX('الافتراضات'!$C$79:$G$79,S$9)</f>
        <v/>
      </c>
      <c r="T97" s="45">
        <f>T8*INDEX('الافتراضات'!$C$79:$G$79,T$9)</f>
        <v/>
      </c>
      <c r="U97" s="45">
        <f>U8*INDEX('الافتراضات'!$C$79:$G$79,U$9)</f>
        <v/>
      </c>
      <c r="V97" s="45">
        <f>V8*INDEX('الافتراضات'!$C$79:$G$79,V$9)</f>
        <v/>
      </c>
      <c r="W97" s="45">
        <f>W8*INDEX('الافتراضات'!$C$79:$G$79,W$9)</f>
        <v/>
      </c>
      <c r="X97" s="45">
        <f>X8*INDEX('الافتراضات'!$C$79:$G$79,X$9)</f>
        <v/>
      </c>
      <c r="Y97" s="45">
        <f>Y8*INDEX('الافتراضات'!$C$79:$G$79,Y$9)</f>
        <v/>
      </c>
      <c r="Z97" s="45">
        <f>Z8*INDEX('الافتراضات'!$C$79:$G$79,Z$9)</f>
        <v/>
      </c>
      <c r="AA97" s="45">
        <f>AA8*INDEX('الافتراضات'!$C$79:$G$79,AA$9)</f>
        <v/>
      </c>
      <c r="AB97" s="45">
        <f>AB8*INDEX('الافتراضات'!$C$79:$G$79,AB$9)</f>
        <v/>
      </c>
      <c r="AC97" s="45">
        <f>AC8*INDEX('الافتراضات'!$C$79:$G$79,AC$9)</f>
        <v/>
      </c>
      <c r="AD97" s="45">
        <f>AD8*INDEX('الافتراضات'!$C$79:$G$79,AD$9)</f>
        <v/>
      </c>
      <c r="AE97" s="45">
        <f>AE8*INDEX('الافتراضات'!$C$79:$G$79,AE$9)</f>
        <v/>
      </c>
      <c r="AF97" s="45">
        <f>AF8*INDEX('الافتراضات'!$C$79:$G$79,AF$9)</f>
        <v/>
      </c>
      <c r="AG97" s="45">
        <f>AG8*INDEX('الافتراضات'!$C$79:$G$79,AG$9)</f>
        <v/>
      </c>
      <c r="AH97" s="45">
        <f>AH8*INDEX('الافتراضات'!$C$79:$G$79,AH$9)</f>
        <v/>
      </c>
      <c r="AI97" s="45">
        <f>AI8*INDEX('الافتراضات'!$C$79:$G$79,AI$9)</f>
        <v/>
      </c>
      <c r="AJ97" s="45">
        <f>AJ8*INDEX('الافتراضات'!$C$79:$G$79,AJ$9)</f>
        <v/>
      </c>
      <c r="AK97" s="45">
        <f>AK8*INDEX('الافتراضات'!$C$79:$G$79,AK$9)</f>
        <v/>
      </c>
      <c r="AL97" s="45">
        <f>AL8*INDEX('الافتراضات'!$C$79:$G$79,AL$9)</f>
        <v/>
      </c>
      <c r="AM97" s="45">
        <f>AM8*INDEX('الافتراضات'!$C$79:$G$79,AM$9)</f>
        <v/>
      </c>
      <c r="AN97" s="45">
        <f>AN8*INDEX('الافتراضات'!$C$79:$G$79,AN$9)</f>
        <v/>
      </c>
      <c r="AO97" s="45">
        <f>AO8*INDEX('الافتراضات'!$C$79:$G$79,AO$9)</f>
        <v/>
      </c>
      <c r="AP97" s="45">
        <f>AP8*INDEX('الافتراضات'!$C$79:$G$79,AP$9)</f>
        <v/>
      </c>
      <c r="AQ97" s="45">
        <f>AQ8*INDEX('الافتراضات'!$C$79:$G$79,AQ$9)</f>
        <v/>
      </c>
      <c r="AR97" s="45">
        <f>AR8*INDEX('الافتراضات'!$C$79:$G$79,AR$9)</f>
        <v/>
      </c>
      <c r="AS97" s="45">
        <f>AS8*INDEX('الافتراضات'!$C$79:$G$79,AS$9)</f>
        <v/>
      </c>
      <c r="AT97" s="45">
        <f>AT8*INDEX('الافتراضات'!$C$79:$G$79,AT$9)</f>
        <v/>
      </c>
      <c r="AU97" s="45">
        <f>AU8*INDEX('الافتراضات'!$C$79:$G$79,AU$9)</f>
        <v/>
      </c>
      <c r="AV97" s="45">
        <f>AV8*INDEX('الافتراضات'!$C$79:$G$79,AV$9)</f>
        <v/>
      </c>
      <c r="AW97" s="45">
        <f>AW8*INDEX('الافتراضات'!$C$79:$G$79,AW$9)</f>
        <v/>
      </c>
      <c r="AX97" s="45">
        <f>AX8*INDEX('الافتراضات'!$C$79:$G$79,AX$9)</f>
        <v/>
      </c>
      <c r="AY97" s="45">
        <f>AY8*INDEX('الافتراضات'!$C$79:$G$79,AY$9)</f>
        <v/>
      </c>
      <c r="AZ97" s="45">
        <f>AZ8*INDEX('الافتراضات'!$C$79:$G$79,AZ$9)</f>
        <v/>
      </c>
      <c r="BA97" s="45">
        <f>BA8*INDEX('الافتراضات'!$C$79:$G$79,BA$9)</f>
        <v/>
      </c>
      <c r="BB97" s="45">
        <f>BB8*INDEX('الافتراضات'!$C$79:$G$79,BB$9)</f>
        <v/>
      </c>
      <c r="BC97" s="45">
        <f>BC8*INDEX('الافتراضات'!$C$79:$G$79,BC$9)</f>
        <v/>
      </c>
      <c r="BD97" s="45">
        <f>BD8*INDEX('الافتراضات'!$C$79:$G$79,BD$9)</f>
        <v/>
      </c>
      <c r="BE97" s="45">
        <f>BE8*INDEX('الافتراضات'!$C$79:$G$79,BE$9)</f>
        <v/>
      </c>
      <c r="BF97" s="45">
        <f>BF8*INDEX('الافتراضات'!$C$79:$G$79,BF$9)</f>
        <v/>
      </c>
      <c r="BG97" s="45">
        <f>BG8*INDEX('الافتراضات'!$C$79:$G$79,BG$9)</f>
        <v/>
      </c>
      <c r="BH97" s="45">
        <f>BH8*INDEX('الافتراضات'!$C$79:$G$79,BH$9)</f>
        <v/>
      </c>
      <c r="BI97" s="45">
        <f>BI8*INDEX('الافتراضات'!$C$79:$G$79,BI$9)</f>
        <v/>
      </c>
      <c r="BJ97" s="45">
        <f>BJ8*INDEX('الافتراضات'!$C$79:$G$79,BJ$9)</f>
        <v/>
      </c>
      <c r="BK97" s="45">
        <f>BK8*INDEX('الافتراضات'!$C$79:$G$79,BK$9)</f>
        <v/>
      </c>
      <c r="BL97" s="45">
        <f>BL8*INDEX('الافتراضات'!$C$79:$G$79,BL$9)</f>
        <v/>
      </c>
      <c r="BM97" s="45">
        <f>BM8*INDEX('الافتراضات'!$C$79:$G$79,BM$9)</f>
        <v/>
      </c>
    </row>
    <row r="98">
      <c r="A98" s="4" t="inlineStr">
        <is>
          <t>فريق التقنية والبنية التحتية</t>
        </is>
      </c>
      <c r="B98" s="22" t="inlineStr">
        <is>
          <t>ج.م</t>
        </is>
      </c>
      <c r="C98" s="45">
        <f>C8*(INDEX('الافتراضات'!$C$80:$G$80,C$9)+INDEX('الافتراضات'!$C$81:$G$81,C$9))</f>
        <v/>
      </c>
      <c r="D98" s="45">
        <f>D8*(INDEX('الافتراضات'!$C$80:$G$80,D$9)+INDEX('الافتراضات'!$C$81:$G$81,D$9))</f>
        <v/>
      </c>
      <c r="E98" s="45">
        <f>E8*(INDEX('الافتراضات'!$C$80:$G$80,E$9)+INDEX('الافتراضات'!$C$81:$G$81,E$9))</f>
        <v/>
      </c>
      <c r="F98" s="45">
        <f>F8*(INDEX('الافتراضات'!$C$80:$G$80,F$9)+INDEX('الافتراضات'!$C$81:$G$81,F$9))</f>
        <v/>
      </c>
      <c r="G98" s="45">
        <f>G8*(INDEX('الافتراضات'!$C$80:$G$80,G$9)+INDEX('الافتراضات'!$C$81:$G$81,G$9))</f>
        <v/>
      </c>
      <c r="H98" s="45">
        <f>H8*(INDEX('الافتراضات'!$C$80:$G$80,H$9)+INDEX('الافتراضات'!$C$81:$G$81,H$9))</f>
        <v/>
      </c>
      <c r="I98" s="45">
        <f>I8*(INDEX('الافتراضات'!$C$80:$G$80,I$9)+INDEX('الافتراضات'!$C$81:$G$81,I$9))</f>
        <v/>
      </c>
      <c r="J98" s="45">
        <f>J8*(INDEX('الافتراضات'!$C$80:$G$80,J$9)+INDEX('الافتراضات'!$C$81:$G$81,J$9))</f>
        <v/>
      </c>
      <c r="K98" s="45">
        <f>K8*(INDEX('الافتراضات'!$C$80:$G$80,K$9)+INDEX('الافتراضات'!$C$81:$G$81,K$9))</f>
        <v/>
      </c>
      <c r="L98" s="45">
        <f>L8*(INDEX('الافتراضات'!$C$80:$G$80,L$9)+INDEX('الافتراضات'!$C$81:$G$81,L$9))</f>
        <v/>
      </c>
      <c r="M98" s="45">
        <f>M8*(INDEX('الافتراضات'!$C$80:$G$80,M$9)+INDEX('الافتراضات'!$C$81:$G$81,M$9))</f>
        <v/>
      </c>
      <c r="N98" s="45">
        <f>N8*(INDEX('الافتراضات'!$C$80:$G$80,N$9)+INDEX('الافتراضات'!$C$81:$G$81,N$9))</f>
        <v/>
      </c>
      <c r="O98" s="45">
        <f>O8*(INDEX('الافتراضات'!$C$80:$G$80,O$9)+INDEX('الافتراضات'!$C$81:$G$81,O$9))</f>
        <v/>
      </c>
      <c r="P98" s="45">
        <f>P8*(INDEX('الافتراضات'!$C$80:$G$80,P$9)+INDEX('الافتراضات'!$C$81:$G$81,P$9))</f>
        <v/>
      </c>
      <c r="Q98" s="45">
        <f>Q8*(INDEX('الافتراضات'!$C$80:$G$80,Q$9)+INDEX('الافتراضات'!$C$81:$G$81,Q$9))</f>
        <v/>
      </c>
      <c r="R98" s="45">
        <f>R8*(INDEX('الافتراضات'!$C$80:$G$80,R$9)+INDEX('الافتراضات'!$C$81:$G$81,R$9))</f>
        <v/>
      </c>
      <c r="S98" s="45">
        <f>S8*(INDEX('الافتراضات'!$C$80:$G$80,S$9)+INDEX('الافتراضات'!$C$81:$G$81,S$9))</f>
        <v/>
      </c>
      <c r="T98" s="45">
        <f>T8*(INDEX('الافتراضات'!$C$80:$G$80,T$9)+INDEX('الافتراضات'!$C$81:$G$81,T$9))</f>
        <v/>
      </c>
      <c r="U98" s="45">
        <f>U8*(INDEX('الافتراضات'!$C$80:$G$80,U$9)+INDEX('الافتراضات'!$C$81:$G$81,U$9))</f>
        <v/>
      </c>
      <c r="V98" s="45">
        <f>V8*(INDEX('الافتراضات'!$C$80:$G$80,V$9)+INDEX('الافتراضات'!$C$81:$G$81,V$9))</f>
        <v/>
      </c>
      <c r="W98" s="45">
        <f>W8*(INDEX('الافتراضات'!$C$80:$G$80,W$9)+INDEX('الافتراضات'!$C$81:$G$81,W$9))</f>
        <v/>
      </c>
      <c r="X98" s="45">
        <f>X8*(INDEX('الافتراضات'!$C$80:$G$80,X$9)+INDEX('الافتراضات'!$C$81:$G$81,X$9))</f>
        <v/>
      </c>
      <c r="Y98" s="45">
        <f>Y8*(INDEX('الافتراضات'!$C$80:$G$80,Y$9)+INDEX('الافتراضات'!$C$81:$G$81,Y$9))</f>
        <v/>
      </c>
      <c r="Z98" s="45">
        <f>Z8*(INDEX('الافتراضات'!$C$80:$G$80,Z$9)+INDEX('الافتراضات'!$C$81:$G$81,Z$9))</f>
        <v/>
      </c>
      <c r="AA98" s="45">
        <f>AA8*(INDEX('الافتراضات'!$C$80:$G$80,AA$9)+INDEX('الافتراضات'!$C$81:$G$81,AA$9))</f>
        <v/>
      </c>
      <c r="AB98" s="45">
        <f>AB8*(INDEX('الافتراضات'!$C$80:$G$80,AB$9)+INDEX('الافتراضات'!$C$81:$G$81,AB$9))</f>
        <v/>
      </c>
      <c r="AC98" s="45">
        <f>AC8*(INDEX('الافتراضات'!$C$80:$G$80,AC$9)+INDEX('الافتراضات'!$C$81:$G$81,AC$9))</f>
        <v/>
      </c>
      <c r="AD98" s="45">
        <f>AD8*(INDEX('الافتراضات'!$C$80:$G$80,AD$9)+INDEX('الافتراضات'!$C$81:$G$81,AD$9))</f>
        <v/>
      </c>
      <c r="AE98" s="45">
        <f>AE8*(INDEX('الافتراضات'!$C$80:$G$80,AE$9)+INDEX('الافتراضات'!$C$81:$G$81,AE$9))</f>
        <v/>
      </c>
      <c r="AF98" s="45">
        <f>AF8*(INDEX('الافتراضات'!$C$80:$G$80,AF$9)+INDEX('الافتراضات'!$C$81:$G$81,AF$9))</f>
        <v/>
      </c>
      <c r="AG98" s="45">
        <f>AG8*(INDEX('الافتراضات'!$C$80:$G$80,AG$9)+INDEX('الافتراضات'!$C$81:$G$81,AG$9))</f>
        <v/>
      </c>
      <c r="AH98" s="45">
        <f>AH8*(INDEX('الافتراضات'!$C$80:$G$80,AH$9)+INDEX('الافتراضات'!$C$81:$G$81,AH$9))</f>
        <v/>
      </c>
      <c r="AI98" s="45">
        <f>AI8*(INDEX('الافتراضات'!$C$80:$G$80,AI$9)+INDEX('الافتراضات'!$C$81:$G$81,AI$9))</f>
        <v/>
      </c>
      <c r="AJ98" s="45">
        <f>AJ8*(INDEX('الافتراضات'!$C$80:$G$80,AJ$9)+INDEX('الافتراضات'!$C$81:$G$81,AJ$9))</f>
        <v/>
      </c>
      <c r="AK98" s="45">
        <f>AK8*(INDEX('الافتراضات'!$C$80:$G$80,AK$9)+INDEX('الافتراضات'!$C$81:$G$81,AK$9))</f>
        <v/>
      </c>
      <c r="AL98" s="45">
        <f>AL8*(INDEX('الافتراضات'!$C$80:$G$80,AL$9)+INDEX('الافتراضات'!$C$81:$G$81,AL$9))</f>
        <v/>
      </c>
      <c r="AM98" s="45">
        <f>AM8*(INDEX('الافتراضات'!$C$80:$G$80,AM$9)+INDEX('الافتراضات'!$C$81:$G$81,AM$9))</f>
        <v/>
      </c>
      <c r="AN98" s="45">
        <f>AN8*(INDEX('الافتراضات'!$C$80:$G$80,AN$9)+INDEX('الافتراضات'!$C$81:$G$81,AN$9))</f>
        <v/>
      </c>
      <c r="AO98" s="45">
        <f>AO8*(INDEX('الافتراضات'!$C$80:$G$80,AO$9)+INDEX('الافتراضات'!$C$81:$G$81,AO$9))</f>
        <v/>
      </c>
      <c r="AP98" s="45">
        <f>AP8*(INDEX('الافتراضات'!$C$80:$G$80,AP$9)+INDEX('الافتراضات'!$C$81:$G$81,AP$9))</f>
        <v/>
      </c>
      <c r="AQ98" s="45">
        <f>AQ8*(INDEX('الافتراضات'!$C$80:$G$80,AQ$9)+INDEX('الافتراضات'!$C$81:$G$81,AQ$9))</f>
        <v/>
      </c>
      <c r="AR98" s="45">
        <f>AR8*(INDEX('الافتراضات'!$C$80:$G$80,AR$9)+INDEX('الافتراضات'!$C$81:$G$81,AR$9))</f>
        <v/>
      </c>
      <c r="AS98" s="45">
        <f>AS8*(INDEX('الافتراضات'!$C$80:$G$80,AS$9)+INDEX('الافتراضات'!$C$81:$G$81,AS$9))</f>
        <v/>
      </c>
      <c r="AT98" s="45">
        <f>AT8*(INDEX('الافتراضات'!$C$80:$G$80,AT$9)+INDEX('الافتراضات'!$C$81:$G$81,AT$9))</f>
        <v/>
      </c>
      <c r="AU98" s="45">
        <f>AU8*(INDEX('الافتراضات'!$C$80:$G$80,AU$9)+INDEX('الافتراضات'!$C$81:$G$81,AU$9))</f>
        <v/>
      </c>
      <c r="AV98" s="45">
        <f>AV8*(INDEX('الافتراضات'!$C$80:$G$80,AV$9)+INDEX('الافتراضات'!$C$81:$G$81,AV$9))</f>
        <v/>
      </c>
      <c r="AW98" s="45">
        <f>AW8*(INDEX('الافتراضات'!$C$80:$G$80,AW$9)+INDEX('الافتراضات'!$C$81:$G$81,AW$9))</f>
        <v/>
      </c>
      <c r="AX98" s="45">
        <f>AX8*(INDEX('الافتراضات'!$C$80:$G$80,AX$9)+INDEX('الافتراضات'!$C$81:$G$81,AX$9))</f>
        <v/>
      </c>
      <c r="AY98" s="45">
        <f>AY8*(INDEX('الافتراضات'!$C$80:$G$80,AY$9)+INDEX('الافتراضات'!$C$81:$G$81,AY$9))</f>
        <v/>
      </c>
      <c r="AZ98" s="45">
        <f>AZ8*(INDEX('الافتراضات'!$C$80:$G$80,AZ$9)+INDEX('الافتراضات'!$C$81:$G$81,AZ$9))</f>
        <v/>
      </c>
      <c r="BA98" s="45">
        <f>BA8*(INDEX('الافتراضات'!$C$80:$G$80,BA$9)+INDEX('الافتراضات'!$C$81:$G$81,BA$9))</f>
        <v/>
      </c>
      <c r="BB98" s="45">
        <f>BB8*(INDEX('الافتراضات'!$C$80:$G$80,BB$9)+INDEX('الافتراضات'!$C$81:$G$81,BB$9))</f>
        <v/>
      </c>
      <c r="BC98" s="45">
        <f>BC8*(INDEX('الافتراضات'!$C$80:$G$80,BC$9)+INDEX('الافتراضات'!$C$81:$G$81,BC$9))</f>
        <v/>
      </c>
      <c r="BD98" s="45">
        <f>BD8*(INDEX('الافتراضات'!$C$80:$G$80,BD$9)+INDEX('الافتراضات'!$C$81:$G$81,BD$9))</f>
        <v/>
      </c>
      <c r="BE98" s="45">
        <f>BE8*(INDEX('الافتراضات'!$C$80:$G$80,BE$9)+INDEX('الافتراضات'!$C$81:$G$81,BE$9))</f>
        <v/>
      </c>
      <c r="BF98" s="45">
        <f>BF8*(INDEX('الافتراضات'!$C$80:$G$80,BF$9)+INDEX('الافتراضات'!$C$81:$G$81,BF$9))</f>
        <v/>
      </c>
      <c r="BG98" s="45">
        <f>BG8*(INDEX('الافتراضات'!$C$80:$G$80,BG$9)+INDEX('الافتراضات'!$C$81:$G$81,BG$9))</f>
        <v/>
      </c>
      <c r="BH98" s="45">
        <f>BH8*(INDEX('الافتراضات'!$C$80:$G$80,BH$9)+INDEX('الافتراضات'!$C$81:$G$81,BH$9))</f>
        <v/>
      </c>
      <c r="BI98" s="45">
        <f>BI8*(INDEX('الافتراضات'!$C$80:$G$80,BI$9)+INDEX('الافتراضات'!$C$81:$G$81,BI$9))</f>
        <v/>
      </c>
      <c r="BJ98" s="45">
        <f>BJ8*(INDEX('الافتراضات'!$C$80:$G$80,BJ$9)+INDEX('الافتراضات'!$C$81:$G$81,BJ$9))</f>
        <v/>
      </c>
      <c r="BK98" s="45">
        <f>BK8*(INDEX('الافتراضات'!$C$80:$G$80,BK$9)+INDEX('الافتراضات'!$C$81:$G$81,BK$9))</f>
        <v/>
      </c>
      <c r="BL98" s="45">
        <f>BL8*(INDEX('الافتراضات'!$C$80:$G$80,BL$9)+INDEX('الافتراضات'!$C$81:$G$81,BL$9))</f>
        <v/>
      </c>
      <c r="BM98" s="45">
        <f>BM8*(INDEX('الافتراضات'!$C$80:$G$80,BM$9)+INDEX('الافتراضات'!$C$81:$G$81,BM$9))</f>
        <v/>
      </c>
    </row>
    <row r="99">
      <c r="A99" s="4" t="inlineStr">
        <is>
          <t>الإدارة والمصروفات العمومية والمكتب والقانوني</t>
        </is>
      </c>
      <c r="B99" s="22" t="inlineStr">
        <is>
          <t>ج.م</t>
        </is>
      </c>
      <c r="C99" s="45">
        <f>C8*(INDEX('الافتراضات'!$C$82:$G$82,C$9)+INDEX('الافتراضات'!$C$83:$G$83,C$9))</f>
        <v/>
      </c>
      <c r="D99" s="45">
        <f>D8*(INDEX('الافتراضات'!$C$82:$G$82,D$9)+INDEX('الافتراضات'!$C$83:$G$83,D$9))</f>
        <v/>
      </c>
      <c r="E99" s="45">
        <f>E8*(INDEX('الافتراضات'!$C$82:$G$82,E$9)+INDEX('الافتراضات'!$C$83:$G$83,E$9))</f>
        <v/>
      </c>
      <c r="F99" s="45">
        <f>F8*(INDEX('الافتراضات'!$C$82:$G$82,F$9)+INDEX('الافتراضات'!$C$83:$G$83,F$9))</f>
        <v/>
      </c>
      <c r="G99" s="45">
        <f>G8*(INDEX('الافتراضات'!$C$82:$G$82,G$9)+INDEX('الافتراضات'!$C$83:$G$83,G$9))</f>
        <v/>
      </c>
      <c r="H99" s="45">
        <f>H8*(INDEX('الافتراضات'!$C$82:$G$82,H$9)+INDEX('الافتراضات'!$C$83:$G$83,H$9))</f>
        <v/>
      </c>
      <c r="I99" s="45">
        <f>I8*(INDEX('الافتراضات'!$C$82:$G$82,I$9)+INDEX('الافتراضات'!$C$83:$G$83,I$9))</f>
        <v/>
      </c>
      <c r="J99" s="45">
        <f>J8*(INDEX('الافتراضات'!$C$82:$G$82,J$9)+INDEX('الافتراضات'!$C$83:$G$83,J$9))</f>
        <v/>
      </c>
      <c r="K99" s="45">
        <f>K8*(INDEX('الافتراضات'!$C$82:$G$82,K$9)+INDEX('الافتراضات'!$C$83:$G$83,K$9))</f>
        <v/>
      </c>
      <c r="L99" s="45">
        <f>L8*(INDEX('الافتراضات'!$C$82:$G$82,L$9)+INDEX('الافتراضات'!$C$83:$G$83,L$9))</f>
        <v/>
      </c>
      <c r="M99" s="45">
        <f>M8*(INDEX('الافتراضات'!$C$82:$G$82,M$9)+INDEX('الافتراضات'!$C$83:$G$83,M$9))</f>
        <v/>
      </c>
      <c r="N99" s="45">
        <f>N8*(INDEX('الافتراضات'!$C$82:$G$82,N$9)+INDEX('الافتراضات'!$C$83:$G$83,N$9))</f>
        <v/>
      </c>
      <c r="O99" s="45">
        <f>O8*(INDEX('الافتراضات'!$C$82:$G$82,O$9)+INDEX('الافتراضات'!$C$83:$G$83,O$9))</f>
        <v/>
      </c>
      <c r="P99" s="45">
        <f>P8*(INDEX('الافتراضات'!$C$82:$G$82,P$9)+INDEX('الافتراضات'!$C$83:$G$83,P$9))</f>
        <v/>
      </c>
      <c r="Q99" s="45">
        <f>Q8*(INDEX('الافتراضات'!$C$82:$G$82,Q$9)+INDEX('الافتراضات'!$C$83:$G$83,Q$9))</f>
        <v/>
      </c>
      <c r="R99" s="45">
        <f>R8*(INDEX('الافتراضات'!$C$82:$G$82,R$9)+INDEX('الافتراضات'!$C$83:$G$83,R$9))</f>
        <v/>
      </c>
      <c r="S99" s="45">
        <f>S8*(INDEX('الافتراضات'!$C$82:$G$82,S$9)+INDEX('الافتراضات'!$C$83:$G$83,S$9))</f>
        <v/>
      </c>
      <c r="T99" s="45">
        <f>T8*(INDEX('الافتراضات'!$C$82:$G$82,T$9)+INDEX('الافتراضات'!$C$83:$G$83,T$9))</f>
        <v/>
      </c>
      <c r="U99" s="45">
        <f>U8*(INDEX('الافتراضات'!$C$82:$G$82,U$9)+INDEX('الافتراضات'!$C$83:$G$83,U$9))</f>
        <v/>
      </c>
      <c r="V99" s="45">
        <f>V8*(INDEX('الافتراضات'!$C$82:$G$82,V$9)+INDEX('الافتراضات'!$C$83:$G$83,V$9))</f>
        <v/>
      </c>
      <c r="W99" s="45">
        <f>W8*(INDEX('الافتراضات'!$C$82:$G$82,W$9)+INDEX('الافتراضات'!$C$83:$G$83,W$9))</f>
        <v/>
      </c>
      <c r="X99" s="45">
        <f>X8*(INDEX('الافتراضات'!$C$82:$G$82,X$9)+INDEX('الافتراضات'!$C$83:$G$83,X$9))</f>
        <v/>
      </c>
      <c r="Y99" s="45">
        <f>Y8*(INDEX('الافتراضات'!$C$82:$G$82,Y$9)+INDEX('الافتراضات'!$C$83:$G$83,Y$9))</f>
        <v/>
      </c>
      <c r="Z99" s="45">
        <f>Z8*(INDEX('الافتراضات'!$C$82:$G$82,Z$9)+INDEX('الافتراضات'!$C$83:$G$83,Z$9))</f>
        <v/>
      </c>
      <c r="AA99" s="45">
        <f>AA8*(INDEX('الافتراضات'!$C$82:$G$82,AA$9)+INDEX('الافتراضات'!$C$83:$G$83,AA$9))</f>
        <v/>
      </c>
      <c r="AB99" s="45">
        <f>AB8*(INDEX('الافتراضات'!$C$82:$G$82,AB$9)+INDEX('الافتراضات'!$C$83:$G$83,AB$9))</f>
        <v/>
      </c>
      <c r="AC99" s="45">
        <f>AC8*(INDEX('الافتراضات'!$C$82:$G$82,AC$9)+INDEX('الافتراضات'!$C$83:$G$83,AC$9))</f>
        <v/>
      </c>
      <c r="AD99" s="45">
        <f>AD8*(INDEX('الافتراضات'!$C$82:$G$82,AD$9)+INDEX('الافتراضات'!$C$83:$G$83,AD$9))</f>
        <v/>
      </c>
      <c r="AE99" s="45">
        <f>AE8*(INDEX('الافتراضات'!$C$82:$G$82,AE$9)+INDEX('الافتراضات'!$C$83:$G$83,AE$9))</f>
        <v/>
      </c>
      <c r="AF99" s="45">
        <f>AF8*(INDEX('الافتراضات'!$C$82:$G$82,AF$9)+INDEX('الافتراضات'!$C$83:$G$83,AF$9))</f>
        <v/>
      </c>
      <c r="AG99" s="45">
        <f>AG8*(INDEX('الافتراضات'!$C$82:$G$82,AG$9)+INDEX('الافتراضات'!$C$83:$G$83,AG$9))</f>
        <v/>
      </c>
      <c r="AH99" s="45">
        <f>AH8*(INDEX('الافتراضات'!$C$82:$G$82,AH$9)+INDEX('الافتراضات'!$C$83:$G$83,AH$9))</f>
        <v/>
      </c>
      <c r="AI99" s="45">
        <f>AI8*(INDEX('الافتراضات'!$C$82:$G$82,AI$9)+INDEX('الافتراضات'!$C$83:$G$83,AI$9))</f>
        <v/>
      </c>
      <c r="AJ99" s="45">
        <f>AJ8*(INDEX('الافتراضات'!$C$82:$G$82,AJ$9)+INDEX('الافتراضات'!$C$83:$G$83,AJ$9))</f>
        <v/>
      </c>
      <c r="AK99" s="45">
        <f>AK8*(INDEX('الافتراضات'!$C$82:$G$82,AK$9)+INDEX('الافتراضات'!$C$83:$G$83,AK$9))</f>
        <v/>
      </c>
      <c r="AL99" s="45">
        <f>AL8*(INDEX('الافتراضات'!$C$82:$G$82,AL$9)+INDEX('الافتراضات'!$C$83:$G$83,AL$9))</f>
        <v/>
      </c>
      <c r="AM99" s="45">
        <f>AM8*(INDEX('الافتراضات'!$C$82:$G$82,AM$9)+INDEX('الافتراضات'!$C$83:$G$83,AM$9))</f>
        <v/>
      </c>
      <c r="AN99" s="45">
        <f>AN8*(INDEX('الافتراضات'!$C$82:$G$82,AN$9)+INDEX('الافتراضات'!$C$83:$G$83,AN$9))</f>
        <v/>
      </c>
      <c r="AO99" s="45">
        <f>AO8*(INDEX('الافتراضات'!$C$82:$G$82,AO$9)+INDEX('الافتراضات'!$C$83:$G$83,AO$9))</f>
        <v/>
      </c>
      <c r="AP99" s="45">
        <f>AP8*(INDEX('الافتراضات'!$C$82:$G$82,AP$9)+INDEX('الافتراضات'!$C$83:$G$83,AP$9))</f>
        <v/>
      </c>
      <c r="AQ99" s="45">
        <f>AQ8*(INDEX('الافتراضات'!$C$82:$G$82,AQ$9)+INDEX('الافتراضات'!$C$83:$G$83,AQ$9))</f>
        <v/>
      </c>
      <c r="AR99" s="45">
        <f>AR8*(INDEX('الافتراضات'!$C$82:$G$82,AR$9)+INDEX('الافتراضات'!$C$83:$G$83,AR$9))</f>
        <v/>
      </c>
      <c r="AS99" s="45">
        <f>AS8*(INDEX('الافتراضات'!$C$82:$G$82,AS$9)+INDEX('الافتراضات'!$C$83:$G$83,AS$9))</f>
        <v/>
      </c>
      <c r="AT99" s="45">
        <f>AT8*(INDEX('الافتراضات'!$C$82:$G$82,AT$9)+INDEX('الافتراضات'!$C$83:$G$83,AT$9))</f>
        <v/>
      </c>
      <c r="AU99" s="45">
        <f>AU8*(INDEX('الافتراضات'!$C$82:$G$82,AU$9)+INDEX('الافتراضات'!$C$83:$G$83,AU$9))</f>
        <v/>
      </c>
      <c r="AV99" s="45">
        <f>AV8*(INDEX('الافتراضات'!$C$82:$G$82,AV$9)+INDEX('الافتراضات'!$C$83:$G$83,AV$9))</f>
        <v/>
      </c>
      <c r="AW99" s="45">
        <f>AW8*(INDEX('الافتراضات'!$C$82:$G$82,AW$9)+INDEX('الافتراضات'!$C$83:$G$83,AW$9))</f>
        <v/>
      </c>
      <c r="AX99" s="45">
        <f>AX8*(INDEX('الافتراضات'!$C$82:$G$82,AX$9)+INDEX('الافتراضات'!$C$83:$G$83,AX$9))</f>
        <v/>
      </c>
      <c r="AY99" s="45">
        <f>AY8*(INDEX('الافتراضات'!$C$82:$G$82,AY$9)+INDEX('الافتراضات'!$C$83:$G$83,AY$9))</f>
        <v/>
      </c>
      <c r="AZ99" s="45">
        <f>AZ8*(INDEX('الافتراضات'!$C$82:$G$82,AZ$9)+INDEX('الافتراضات'!$C$83:$G$83,AZ$9))</f>
        <v/>
      </c>
      <c r="BA99" s="45">
        <f>BA8*(INDEX('الافتراضات'!$C$82:$G$82,BA$9)+INDEX('الافتراضات'!$C$83:$G$83,BA$9))</f>
        <v/>
      </c>
      <c r="BB99" s="45">
        <f>BB8*(INDEX('الافتراضات'!$C$82:$G$82,BB$9)+INDEX('الافتراضات'!$C$83:$G$83,BB$9))</f>
        <v/>
      </c>
      <c r="BC99" s="45">
        <f>BC8*(INDEX('الافتراضات'!$C$82:$G$82,BC$9)+INDEX('الافتراضات'!$C$83:$G$83,BC$9))</f>
        <v/>
      </c>
      <c r="BD99" s="45">
        <f>BD8*(INDEX('الافتراضات'!$C$82:$G$82,BD$9)+INDEX('الافتراضات'!$C$83:$G$83,BD$9))</f>
        <v/>
      </c>
      <c r="BE99" s="45">
        <f>BE8*(INDEX('الافتراضات'!$C$82:$G$82,BE$9)+INDEX('الافتراضات'!$C$83:$G$83,BE$9))</f>
        <v/>
      </c>
      <c r="BF99" s="45">
        <f>BF8*(INDEX('الافتراضات'!$C$82:$G$82,BF$9)+INDEX('الافتراضات'!$C$83:$G$83,BF$9))</f>
        <v/>
      </c>
      <c r="BG99" s="45">
        <f>BG8*(INDEX('الافتراضات'!$C$82:$G$82,BG$9)+INDEX('الافتراضات'!$C$83:$G$83,BG$9))</f>
        <v/>
      </c>
      <c r="BH99" s="45">
        <f>BH8*(INDEX('الافتراضات'!$C$82:$G$82,BH$9)+INDEX('الافتراضات'!$C$83:$G$83,BH$9))</f>
        <v/>
      </c>
      <c r="BI99" s="45">
        <f>BI8*(INDEX('الافتراضات'!$C$82:$G$82,BI$9)+INDEX('الافتراضات'!$C$83:$G$83,BI$9))</f>
        <v/>
      </c>
      <c r="BJ99" s="45">
        <f>BJ8*(INDEX('الافتراضات'!$C$82:$G$82,BJ$9)+INDEX('الافتراضات'!$C$83:$G$83,BJ$9))</f>
        <v/>
      </c>
      <c r="BK99" s="45">
        <f>BK8*(INDEX('الافتراضات'!$C$82:$G$82,BK$9)+INDEX('الافتراضات'!$C$83:$G$83,BK$9))</f>
        <v/>
      </c>
      <c r="BL99" s="45">
        <f>BL8*(INDEX('الافتراضات'!$C$82:$G$82,BL$9)+INDEX('الافتراضات'!$C$83:$G$83,BL$9))</f>
        <v/>
      </c>
      <c r="BM99" s="45">
        <f>BM8*(INDEX('الافتراضات'!$C$82:$G$82,BM$9)+INDEX('الافتراضات'!$C$83:$G$83,BM$9))</f>
        <v/>
      </c>
    </row>
    <row r="100">
      <c r="A100" s="4" t="inlineStr">
        <is>
          <t>تسويق العلامة والمجتمع</t>
        </is>
      </c>
      <c r="B100" s="22" t="inlineStr">
        <is>
          <t>ج.م</t>
        </is>
      </c>
      <c r="C100" s="45">
        <f>C8*INDEX('الافتراضات'!$C$84:$G$84,C$9)</f>
        <v/>
      </c>
      <c r="D100" s="45">
        <f>D8*INDEX('الافتراضات'!$C$84:$G$84,D$9)</f>
        <v/>
      </c>
      <c r="E100" s="45">
        <f>E8*INDEX('الافتراضات'!$C$84:$G$84,E$9)</f>
        <v/>
      </c>
      <c r="F100" s="45">
        <f>F8*INDEX('الافتراضات'!$C$84:$G$84,F$9)</f>
        <v/>
      </c>
      <c r="G100" s="45">
        <f>G8*INDEX('الافتراضات'!$C$84:$G$84,G$9)</f>
        <v/>
      </c>
      <c r="H100" s="45">
        <f>H8*INDEX('الافتراضات'!$C$84:$G$84,H$9)</f>
        <v/>
      </c>
      <c r="I100" s="45">
        <f>I8*INDEX('الافتراضات'!$C$84:$G$84,I$9)</f>
        <v/>
      </c>
      <c r="J100" s="45">
        <f>J8*INDEX('الافتراضات'!$C$84:$G$84,J$9)</f>
        <v/>
      </c>
      <c r="K100" s="45">
        <f>K8*INDEX('الافتراضات'!$C$84:$G$84,K$9)</f>
        <v/>
      </c>
      <c r="L100" s="45">
        <f>L8*INDEX('الافتراضات'!$C$84:$G$84,L$9)</f>
        <v/>
      </c>
      <c r="M100" s="45">
        <f>M8*INDEX('الافتراضات'!$C$84:$G$84,M$9)</f>
        <v/>
      </c>
      <c r="N100" s="45">
        <f>N8*INDEX('الافتراضات'!$C$84:$G$84,N$9)</f>
        <v/>
      </c>
      <c r="O100" s="45">
        <f>O8*INDEX('الافتراضات'!$C$84:$G$84,O$9)</f>
        <v/>
      </c>
      <c r="P100" s="45">
        <f>P8*INDEX('الافتراضات'!$C$84:$G$84,P$9)</f>
        <v/>
      </c>
      <c r="Q100" s="45">
        <f>Q8*INDEX('الافتراضات'!$C$84:$G$84,Q$9)</f>
        <v/>
      </c>
      <c r="R100" s="45">
        <f>R8*INDEX('الافتراضات'!$C$84:$G$84,R$9)</f>
        <v/>
      </c>
      <c r="S100" s="45">
        <f>S8*INDEX('الافتراضات'!$C$84:$G$84,S$9)</f>
        <v/>
      </c>
      <c r="T100" s="45">
        <f>T8*INDEX('الافتراضات'!$C$84:$G$84,T$9)</f>
        <v/>
      </c>
      <c r="U100" s="45">
        <f>U8*INDEX('الافتراضات'!$C$84:$G$84,U$9)</f>
        <v/>
      </c>
      <c r="V100" s="45">
        <f>V8*INDEX('الافتراضات'!$C$84:$G$84,V$9)</f>
        <v/>
      </c>
      <c r="W100" s="45">
        <f>W8*INDEX('الافتراضات'!$C$84:$G$84,W$9)</f>
        <v/>
      </c>
      <c r="X100" s="45">
        <f>X8*INDEX('الافتراضات'!$C$84:$G$84,X$9)</f>
        <v/>
      </c>
      <c r="Y100" s="45">
        <f>Y8*INDEX('الافتراضات'!$C$84:$G$84,Y$9)</f>
        <v/>
      </c>
      <c r="Z100" s="45">
        <f>Z8*INDEX('الافتراضات'!$C$84:$G$84,Z$9)</f>
        <v/>
      </c>
      <c r="AA100" s="45">
        <f>AA8*INDEX('الافتراضات'!$C$84:$G$84,AA$9)</f>
        <v/>
      </c>
      <c r="AB100" s="45">
        <f>AB8*INDEX('الافتراضات'!$C$84:$G$84,AB$9)</f>
        <v/>
      </c>
      <c r="AC100" s="45">
        <f>AC8*INDEX('الافتراضات'!$C$84:$G$84,AC$9)</f>
        <v/>
      </c>
      <c r="AD100" s="45">
        <f>AD8*INDEX('الافتراضات'!$C$84:$G$84,AD$9)</f>
        <v/>
      </c>
      <c r="AE100" s="45">
        <f>AE8*INDEX('الافتراضات'!$C$84:$G$84,AE$9)</f>
        <v/>
      </c>
      <c r="AF100" s="45">
        <f>AF8*INDEX('الافتراضات'!$C$84:$G$84,AF$9)</f>
        <v/>
      </c>
      <c r="AG100" s="45">
        <f>AG8*INDEX('الافتراضات'!$C$84:$G$84,AG$9)</f>
        <v/>
      </c>
      <c r="AH100" s="45">
        <f>AH8*INDEX('الافتراضات'!$C$84:$G$84,AH$9)</f>
        <v/>
      </c>
      <c r="AI100" s="45">
        <f>AI8*INDEX('الافتراضات'!$C$84:$G$84,AI$9)</f>
        <v/>
      </c>
      <c r="AJ100" s="45">
        <f>AJ8*INDEX('الافتراضات'!$C$84:$G$84,AJ$9)</f>
        <v/>
      </c>
      <c r="AK100" s="45">
        <f>AK8*INDEX('الافتراضات'!$C$84:$G$84,AK$9)</f>
        <v/>
      </c>
      <c r="AL100" s="45">
        <f>AL8*INDEX('الافتراضات'!$C$84:$G$84,AL$9)</f>
        <v/>
      </c>
      <c r="AM100" s="45">
        <f>AM8*INDEX('الافتراضات'!$C$84:$G$84,AM$9)</f>
        <v/>
      </c>
      <c r="AN100" s="45">
        <f>AN8*INDEX('الافتراضات'!$C$84:$G$84,AN$9)</f>
        <v/>
      </c>
      <c r="AO100" s="45">
        <f>AO8*INDEX('الافتراضات'!$C$84:$G$84,AO$9)</f>
        <v/>
      </c>
      <c r="AP100" s="45">
        <f>AP8*INDEX('الافتراضات'!$C$84:$G$84,AP$9)</f>
        <v/>
      </c>
      <c r="AQ100" s="45">
        <f>AQ8*INDEX('الافتراضات'!$C$84:$G$84,AQ$9)</f>
        <v/>
      </c>
      <c r="AR100" s="45">
        <f>AR8*INDEX('الافتراضات'!$C$84:$G$84,AR$9)</f>
        <v/>
      </c>
      <c r="AS100" s="45">
        <f>AS8*INDEX('الافتراضات'!$C$84:$G$84,AS$9)</f>
        <v/>
      </c>
      <c r="AT100" s="45">
        <f>AT8*INDEX('الافتراضات'!$C$84:$G$84,AT$9)</f>
        <v/>
      </c>
      <c r="AU100" s="45">
        <f>AU8*INDEX('الافتراضات'!$C$84:$G$84,AU$9)</f>
        <v/>
      </c>
      <c r="AV100" s="45">
        <f>AV8*INDEX('الافتراضات'!$C$84:$G$84,AV$9)</f>
        <v/>
      </c>
      <c r="AW100" s="45">
        <f>AW8*INDEX('الافتراضات'!$C$84:$G$84,AW$9)</f>
        <v/>
      </c>
      <c r="AX100" s="45">
        <f>AX8*INDEX('الافتراضات'!$C$84:$G$84,AX$9)</f>
        <v/>
      </c>
      <c r="AY100" s="45">
        <f>AY8*INDEX('الافتراضات'!$C$84:$G$84,AY$9)</f>
        <v/>
      </c>
      <c r="AZ100" s="45">
        <f>AZ8*INDEX('الافتراضات'!$C$84:$G$84,AZ$9)</f>
        <v/>
      </c>
      <c r="BA100" s="45">
        <f>BA8*INDEX('الافتراضات'!$C$84:$G$84,BA$9)</f>
        <v/>
      </c>
      <c r="BB100" s="45">
        <f>BB8*INDEX('الافتراضات'!$C$84:$G$84,BB$9)</f>
        <v/>
      </c>
      <c r="BC100" s="45">
        <f>BC8*INDEX('الافتراضات'!$C$84:$G$84,BC$9)</f>
        <v/>
      </c>
      <c r="BD100" s="45">
        <f>BD8*INDEX('الافتراضات'!$C$84:$G$84,BD$9)</f>
        <v/>
      </c>
      <c r="BE100" s="45">
        <f>BE8*INDEX('الافتراضات'!$C$84:$G$84,BE$9)</f>
        <v/>
      </c>
      <c r="BF100" s="45">
        <f>BF8*INDEX('الافتراضات'!$C$84:$G$84,BF$9)</f>
        <v/>
      </c>
      <c r="BG100" s="45">
        <f>BG8*INDEX('الافتراضات'!$C$84:$G$84,BG$9)</f>
        <v/>
      </c>
      <c r="BH100" s="45">
        <f>BH8*INDEX('الافتراضات'!$C$84:$G$84,BH$9)</f>
        <v/>
      </c>
      <c r="BI100" s="45">
        <f>BI8*INDEX('الافتراضات'!$C$84:$G$84,BI$9)</f>
        <v/>
      </c>
      <c r="BJ100" s="45">
        <f>BJ8*INDEX('الافتراضات'!$C$84:$G$84,BJ$9)</f>
        <v/>
      </c>
      <c r="BK100" s="45">
        <f>BK8*INDEX('الافتراضات'!$C$84:$G$84,BK$9)</f>
        <v/>
      </c>
      <c r="BL100" s="45">
        <f>BL8*INDEX('الافتراضات'!$C$84:$G$84,BL$9)</f>
        <v/>
      </c>
      <c r="BM100" s="45">
        <f>BM8*INDEX('الافتراضات'!$C$84:$G$84,BM$9)</f>
        <v/>
      </c>
    </row>
    <row r="101">
      <c r="A101" s="4" t="inlineStr">
        <is>
          <t>فرق المراكز المحلية (التوسع)</t>
        </is>
      </c>
      <c r="B101" s="22" t="inlineStr">
        <is>
          <t>ج.م</t>
        </is>
      </c>
      <c r="C101" s="45">
        <f>C47*INDEX('الافتراضات'!$C$115:$G$115,C$9)</f>
        <v/>
      </c>
      <c r="D101" s="45">
        <f>D47*INDEX('الافتراضات'!$C$115:$G$115,D$9)</f>
        <v/>
      </c>
      <c r="E101" s="45">
        <f>E47*INDEX('الافتراضات'!$C$115:$G$115,E$9)</f>
        <v/>
      </c>
      <c r="F101" s="45">
        <f>F47*INDEX('الافتراضات'!$C$115:$G$115,F$9)</f>
        <v/>
      </c>
      <c r="G101" s="45">
        <f>G47*INDEX('الافتراضات'!$C$115:$G$115,G$9)</f>
        <v/>
      </c>
      <c r="H101" s="45">
        <f>H47*INDEX('الافتراضات'!$C$115:$G$115,H$9)</f>
        <v/>
      </c>
      <c r="I101" s="45">
        <f>I47*INDEX('الافتراضات'!$C$115:$G$115,I$9)</f>
        <v/>
      </c>
      <c r="J101" s="45">
        <f>J47*INDEX('الافتراضات'!$C$115:$G$115,J$9)</f>
        <v/>
      </c>
      <c r="K101" s="45">
        <f>K47*INDEX('الافتراضات'!$C$115:$G$115,K$9)</f>
        <v/>
      </c>
      <c r="L101" s="45">
        <f>L47*INDEX('الافتراضات'!$C$115:$G$115,L$9)</f>
        <v/>
      </c>
      <c r="M101" s="45">
        <f>M47*INDEX('الافتراضات'!$C$115:$G$115,M$9)</f>
        <v/>
      </c>
      <c r="N101" s="45">
        <f>N47*INDEX('الافتراضات'!$C$115:$G$115,N$9)</f>
        <v/>
      </c>
      <c r="O101" s="45">
        <f>O47*INDEX('الافتراضات'!$C$115:$G$115,O$9)</f>
        <v/>
      </c>
      <c r="P101" s="45">
        <f>P47*INDEX('الافتراضات'!$C$115:$G$115,P$9)</f>
        <v/>
      </c>
      <c r="Q101" s="45">
        <f>Q47*INDEX('الافتراضات'!$C$115:$G$115,Q$9)</f>
        <v/>
      </c>
      <c r="R101" s="45">
        <f>R47*INDEX('الافتراضات'!$C$115:$G$115,R$9)</f>
        <v/>
      </c>
      <c r="S101" s="45">
        <f>S47*INDEX('الافتراضات'!$C$115:$G$115,S$9)</f>
        <v/>
      </c>
      <c r="T101" s="45">
        <f>T47*INDEX('الافتراضات'!$C$115:$G$115,T$9)</f>
        <v/>
      </c>
      <c r="U101" s="45">
        <f>U47*INDEX('الافتراضات'!$C$115:$G$115,U$9)</f>
        <v/>
      </c>
      <c r="V101" s="45">
        <f>V47*INDEX('الافتراضات'!$C$115:$G$115,V$9)</f>
        <v/>
      </c>
      <c r="W101" s="45">
        <f>W47*INDEX('الافتراضات'!$C$115:$G$115,W$9)</f>
        <v/>
      </c>
      <c r="X101" s="45">
        <f>X47*INDEX('الافتراضات'!$C$115:$G$115,X$9)</f>
        <v/>
      </c>
      <c r="Y101" s="45">
        <f>Y47*INDEX('الافتراضات'!$C$115:$G$115,Y$9)</f>
        <v/>
      </c>
      <c r="Z101" s="45">
        <f>Z47*INDEX('الافتراضات'!$C$115:$G$115,Z$9)</f>
        <v/>
      </c>
      <c r="AA101" s="45">
        <f>AA47*INDEX('الافتراضات'!$C$115:$G$115,AA$9)</f>
        <v/>
      </c>
      <c r="AB101" s="45">
        <f>AB47*INDEX('الافتراضات'!$C$115:$G$115,AB$9)</f>
        <v/>
      </c>
      <c r="AC101" s="45">
        <f>AC47*INDEX('الافتراضات'!$C$115:$G$115,AC$9)</f>
        <v/>
      </c>
      <c r="AD101" s="45">
        <f>AD47*INDEX('الافتراضات'!$C$115:$G$115,AD$9)</f>
        <v/>
      </c>
      <c r="AE101" s="45">
        <f>AE47*INDEX('الافتراضات'!$C$115:$G$115,AE$9)</f>
        <v/>
      </c>
      <c r="AF101" s="45">
        <f>AF47*INDEX('الافتراضات'!$C$115:$G$115,AF$9)</f>
        <v/>
      </c>
      <c r="AG101" s="45">
        <f>AG47*INDEX('الافتراضات'!$C$115:$G$115,AG$9)</f>
        <v/>
      </c>
      <c r="AH101" s="45">
        <f>AH47*INDEX('الافتراضات'!$C$115:$G$115,AH$9)</f>
        <v/>
      </c>
      <c r="AI101" s="45">
        <f>AI47*INDEX('الافتراضات'!$C$115:$G$115,AI$9)</f>
        <v/>
      </c>
      <c r="AJ101" s="45">
        <f>AJ47*INDEX('الافتراضات'!$C$115:$G$115,AJ$9)</f>
        <v/>
      </c>
      <c r="AK101" s="45">
        <f>AK47*INDEX('الافتراضات'!$C$115:$G$115,AK$9)</f>
        <v/>
      </c>
      <c r="AL101" s="45">
        <f>AL47*INDEX('الافتراضات'!$C$115:$G$115,AL$9)</f>
        <v/>
      </c>
      <c r="AM101" s="45">
        <f>AM47*INDEX('الافتراضات'!$C$115:$G$115,AM$9)</f>
        <v/>
      </c>
      <c r="AN101" s="45">
        <f>AN47*INDEX('الافتراضات'!$C$115:$G$115,AN$9)</f>
        <v/>
      </c>
      <c r="AO101" s="45">
        <f>AO47*INDEX('الافتراضات'!$C$115:$G$115,AO$9)</f>
        <v/>
      </c>
      <c r="AP101" s="45">
        <f>AP47*INDEX('الافتراضات'!$C$115:$G$115,AP$9)</f>
        <v/>
      </c>
      <c r="AQ101" s="45">
        <f>AQ47*INDEX('الافتراضات'!$C$115:$G$115,AQ$9)</f>
        <v/>
      </c>
      <c r="AR101" s="45">
        <f>AR47*INDEX('الافتراضات'!$C$115:$G$115,AR$9)</f>
        <v/>
      </c>
      <c r="AS101" s="45">
        <f>AS47*INDEX('الافتراضات'!$C$115:$G$115,AS$9)</f>
        <v/>
      </c>
      <c r="AT101" s="45">
        <f>AT47*INDEX('الافتراضات'!$C$115:$G$115,AT$9)</f>
        <v/>
      </c>
      <c r="AU101" s="45">
        <f>AU47*INDEX('الافتراضات'!$C$115:$G$115,AU$9)</f>
        <v/>
      </c>
      <c r="AV101" s="45">
        <f>AV47*INDEX('الافتراضات'!$C$115:$G$115,AV$9)</f>
        <v/>
      </c>
      <c r="AW101" s="45">
        <f>AW47*INDEX('الافتراضات'!$C$115:$G$115,AW$9)</f>
        <v/>
      </c>
      <c r="AX101" s="45">
        <f>AX47*INDEX('الافتراضات'!$C$115:$G$115,AX$9)</f>
        <v/>
      </c>
      <c r="AY101" s="45">
        <f>AY47*INDEX('الافتراضات'!$C$115:$G$115,AY$9)</f>
        <v/>
      </c>
      <c r="AZ101" s="45">
        <f>AZ47*INDEX('الافتراضات'!$C$115:$G$115,AZ$9)</f>
        <v/>
      </c>
      <c r="BA101" s="45">
        <f>BA47*INDEX('الافتراضات'!$C$115:$G$115,BA$9)</f>
        <v/>
      </c>
      <c r="BB101" s="45">
        <f>BB47*INDEX('الافتراضات'!$C$115:$G$115,BB$9)</f>
        <v/>
      </c>
      <c r="BC101" s="45">
        <f>BC47*INDEX('الافتراضات'!$C$115:$G$115,BC$9)</f>
        <v/>
      </c>
      <c r="BD101" s="45">
        <f>BD47*INDEX('الافتراضات'!$C$115:$G$115,BD$9)</f>
        <v/>
      </c>
      <c r="BE101" s="45">
        <f>BE47*INDEX('الافتراضات'!$C$115:$G$115,BE$9)</f>
        <v/>
      </c>
      <c r="BF101" s="45">
        <f>BF47*INDEX('الافتراضات'!$C$115:$G$115,BF$9)</f>
        <v/>
      </c>
      <c r="BG101" s="45">
        <f>BG47*INDEX('الافتراضات'!$C$115:$G$115,BG$9)</f>
        <v/>
      </c>
      <c r="BH101" s="45">
        <f>BH47*INDEX('الافتراضات'!$C$115:$G$115,BH$9)</f>
        <v/>
      </c>
      <c r="BI101" s="45">
        <f>BI47*INDEX('الافتراضات'!$C$115:$G$115,BI$9)</f>
        <v/>
      </c>
      <c r="BJ101" s="45">
        <f>BJ47*INDEX('الافتراضات'!$C$115:$G$115,BJ$9)</f>
        <v/>
      </c>
      <c r="BK101" s="45">
        <f>BK47*INDEX('الافتراضات'!$C$115:$G$115,BK$9)</f>
        <v/>
      </c>
      <c r="BL101" s="45">
        <f>BL47*INDEX('الافتراضات'!$C$115:$G$115,BL$9)</f>
        <v/>
      </c>
      <c r="BM101" s="45">
        <f>BM47*INDEX('الافتراضات'!$C$115:$G$115,BM$9)</f>
        <v/>
      </c>
    </row>
    <row r="102">
      <c r="A102" s="4" t="inlineStr">
        <is>
          <t>تكلفة التشغيل قبل الإطلاق</t>
        </is>
      </c>
      <c r="B102" s="22" t="inlineStr">
        <is>
          <t>ج.م</t>
        </is>
      </c>
      <c r="C102" s="45">
        <f>(1-C8)*'الافتراضات'!$C$86+C48*'الافتراضات'!$C$113</f>
        <v/>
      </c>
      <c r="D102" s="45">
        <f>(1-D8)*'الافتراضات'!$C$86+D48*'الافتراضات'!$C$113</f>
        <v/>
      </c>
      <c r="E102" s="45">
        <f>(1-E8)*'الافتراضات'!$C$86+E48*'الافتراضات'!$C$113</f>
        <v/>
      </c>
      <c r="F102" s="45">
        <f>(1-F8)*'الافتراضات'!$C$86+F48*'الافتراضات'!$C$113</f>
        <v/>
      </c>
      <c r="G102" s="45">
        <f>(1-G8)*'الافتراضات'!$C$86+G48*'الافتراضات'!$C$113</f>
        <v/>
      </c>
      <c r="H102" s="45">
        <f>(1-H8)*'الافتراضات'!$C$86+H48*'الافتراضات'!$C$113</f>
        <v/>
      </c>
      <c r="I102" s="45">
        <f>(1-I8)*'الافتراضات'!$C$86+I48*'الافتراضات'!$C$113</f>
        <v/>
      </c>
      <c r="J102" s="45">
        <f>(1-J8)*'الافتراضات'!$C$86+J48*'الافتراضات'!$C$113</f>
        <v/>
      </c>
      <c r="K102" s="45">
        <f>(1-K8)*'الافتراضات'!$C$86+K48*'الافتراضات'!$C$113</f>
        <v/>
      </c>
      <c r="L102" s="45">
        <f>(1-L8)*'الافتراضات'!$C$86+L48*'الافتراضات'!$C$113</f>
        <v/>
      </c>
      <c r="M102" s="45">
        <f>(1-M8)*'الافتراضات'!$C$86+M48*'الافتراضات'!$C$113</f>
        <v/>
      </c>
      <c r="N102" s="45">
        <f>(1-N8)*'الافتراضات'!$C$86+N48*'الافتراضات'!$C$113</f>
        <v/>
      </c>
      <c r="O102" s="45">
        <f>(1-O8)*'الافتراضات'!$C$86+O48*'الافتراضات'!$C$113</f>
        <v/>
      </c>
      <c r="P102" s="45">
        <f>(1-P8)*'الافتراضات'!$C$86+P48*'الافتراضات'!$C$113</f>
        <v/>
      </c>
      <c r="Q102" s="45">
        <f>(1-Q8)*'الافتراضات'!$C$86+Q48*'الافتراضات'!$C$113</f>
        <v/>
      </c>
      <c r="R102" s="45">
        <f>(1-R8)*'الافتراضات'!$C$86+R48*'الافتراضات'!$C$113</f>
        <v/>
      </c>
      <c r="S102" s="45">
        <f>(1-S8)*'الافتراضات'!$C$86+S48*'الافتراضات'!$C$113</f>
        <v/>
      </c>
      <c r="T102" s="45">
        <f>(1-T8)*'الافتراضات'!$C$86+T48*'الافتراضات'!$C$113</f>
        <v/>
      </c>
      <c r="U102" s="45">
        <f>(1-U8)*'الافتراضات'!$C$86+U48*'الافتراضات'!$C$113</f>
        <v/>
      </c>
      <c r="V102" s="45">
        <f>(1-V8)*'الافتراضات'!$C$86+V48*'الافتراضات'!$C$113</f>
        <v/>
      </c>
      <c r="W102" s="45">
        <f>(1-W8)*'الافتراضات'!$C$86+W48*'الافتراضات'!$C$113</f>
        <v/>
      </c>
      <c r="X102" s="45">
        <f>(1-X8)*'الافتراضات'!$C$86+X48*'الافتراضات'!$C$113</f>
        <v/>
      </c>
      <c r="Y102" s="45">
        <f>(1-Y8)*'الافتراضات'!$C$86+Y48*'الافتراضات'!$C$113</f>
        <v/>
      </c>
      <c r="Z102" s="45">
        <f>(1-Z8)*'الافتراضات'!$C$86+Z48*'الافتراضات'!$C$113</f>
        <v/>
      </c>
      <c r="AA102" s="45">
        <f>(1-AA8)*'الافتراضات'!$C$86+AA48*'الافتراضات'!$C$113</f>
        <v/>
      </c>
      <c r="AB102" s="45">
        <f>(1-AB8)*'الافتراضات'!$C$86+AB48*'الافتراضات'!$C$113</f>
        <v/>
      </c>
      <c r="AC102" s="45">
        <f>(1-AC8)*'الافتراضات'!$C$86+AC48*'الافتراضات'!$C$113</f>
        <v/>
      </c>
      <c r="AD102" s="45">
        <f>(1-AD8)*'الافتراضات'!$C$86+AD48*'الافتراضات'!$C$113</f>
        <v/>
      </c>
      <c r="AE102" s="45">
        <f>(1-AE8)*'الافتراضات'!$C$86+AE48*'الافتراضات'!$C$113</f>
        <v/>
      </c>
      <c r="AF102" s="45">
        <f>(1-AF8)*'الافتراضات'!$C$86+AF48*'الافتراضات'!$C$113</f>
        <v/>
      </c>
      <c r="AG102" s="45">
        <f>(1-AG8)*'الافتراضات'!$C$86+AG48*'الافتراضات'!$C$113</f>
        <v/>
      </c>
      <c r="AH102" s="45">
        <f>(1-AH8)*'الافتراضات'!$C$86+AH48*'الافتراضات'!$C$113</f>
        <v/>
      </c>
      <c r="AI102" s="45">
        <f>(1-AI8)*'الافتراضات'!$C$86+AI48*'الافتراضات'!$C$113</f>
        <v/>
      </c>
      <c r="AJ102" s="45">
        <f>(1-AJ8)*'الافتراضات'!$C$86+AJ48*'الافتراضات'!$C$113</f>
        <v/>
      </c>
      <c r="AK102" s="45">
        <f>(1-AK8)*'الافتراضات'!$C$86+AK48*'الافتراضات'!$C$113</f>
        <v/>
      </c>
      <c r="AL102" s="45">
        <f>(1-AL8)*'الافتراضات'!$C$86+AL48*'الافتراضات'!$C$113</f>
        <v/>
      </c>
      <c r="AM102" s="45">
        <f>(1-AM8)*'الافتراضات'!$C$86+AM48*'الافتراضات'!$C$113</f>
        <v/>
      </c>
      <c r="AN102" s="45">
        <f>(1-AN8)*'الافتراضات'!$C$86+AN48*'الافتراضات'!$C$113</f>
        <v/>
      </c>
      <c r="AO102" s="45">
        <f>(1-AO8)*'الافتراضات'!$C$86+AO48*'الافتراضات'!$C$113</f>
        <v/>
      </c>
      <c r="AP102" s="45">
        <f>(1-AP8)*'الافتراضات'!$C$86+AP48*'الافتراضات'!$C$113</f>
        <v/>
      </c>
      <c r="AQ102" s="45">
        <f>(1-AQ8)*'الافتراضات'!$C$86+AQ48*'الافتراضات'!$C$113</f>
        <v/>
      </c>
      <c r="AR102" s="45">
        <f>(1-AR8)*'الافتراضات'!$C$86+AR48*'الافتراضات'!$C$113</f>
        <v/>
      </c>
      <c r="AS102" s="45">
        <f>(1-AS8)*'الافتراضات'!$C$86+AS48*'الافتراضات'!$C$113</f>
        <v/>
      </c>
      <c r="AT102" s="45">
        <f>(1-AT8)*'الافتراضات'!$C$86+AT48*'الافتراضات'!$C$113</f>
        <v/>
      </c>
      <c r="AU102" s="45">
        <f>(1-AU8)*'الافتراضات'!$C$86+AU48*'الافتراضات'!$C$113</f>
        <v/>
      </c>
      <c r="AV102" s="45">
        <f>(1-AV8)*'الافتراضات'!$C$86+AV48*'الافتراضات'!$C$113</f>
        <v/>
      </c>
      <c r="AW102" s="45">
        <f>(1-AW8)*'الافتراضات'!$C$86+AW48*'الافتراضات'!$C$113</f>
        <v/>
      </c>
      <c r="AX102" s="45">
        <f>(1-AX8)*'الافتراضات'!$C$86+AX48*'الافتراضات'!$C$113</f>
        <v/>
      </c>
      <c r="AY102" s="45">
        <f>(1-AY8)*'الافتراضات'!$C$86+AY48*'الافتراضات'!$C$113</f>
        <v/>
      </c>
      <c r="AZ102" s="45">
        <f>(1-AZ8)*'الافتراضات'!$C$86+AZ48*'الافتراضات'!$C$113</f>
        <v/>
      </c>
      <c r="BA102" s="45">
        <f>(1-BA8)*'الافتراضات'!$C$86+BA48*'الافتراضات'!$C$113</f>
        <v/>
      </c>
      <c r="BB102" s="45">
        <f>(1-BB8)*'الافتراضات'!$C$86+BB48*'الافتراضات'!$C$113</f>
        <v/>
      </c>
      <c r="BC102" s="45">
        <f>(1-BC8)*'الافتراضات'!$C$86+BC48*'الافتراضات'!$C$113</f>
        <v/>
      </c>
      <c r="BD102" s="45">
        <f>(1-BD8)*'الافتراضات'!$C$86+BD48*'الافتراضات'!$C$113</f>
        <v/>
      </c>
      <c r="BE102" s="45">
        <f>(1-BE8)*'الافتراضات'!$C$86+BE48*'الافتراضات'!$C$113</f>
        <v/>
      </c>
      <c r="BF102" s="45">
        <f>(1-BF8)*'الافتراضات'!$C$86+BF48*'الافتراضات'!$C$113</f>
        <v/>
      </c>
      <c r="BG102" s="45">
        <f>(1-BG8)*'الافتراضات'!$C$86+BG48*'الافتراضات'!$C$113</f>
        <v/>
      </c>
      <c r="BH102" s="45">
        <f>(1-BH8)*'الافتراضات'!$C$86+BH48*'الافتراضات'!$C$113</f>
        <v/>
      </c>
      <c r="BI102" s="45">
        <f>(1-BI8)*'الافتراضات'!$C$86+BI48*'الافتراضات'!$C$113</f>
        <v/>
      </c>
      <c r="BJ102" s="45">
        <f>(1-BJ8)*'الافتراضات'!$C$86+BJ48*'الافتراضات'!$C$113</f>
        <v/>
      </c>
      <c r="BK102" s="45">
        <f>(1-BK8)*'الافتراضات'!$C$86+BK48*'الافتراضات'!$C$113</f>
        <v/>
      </c>
      <c r="BL102" s="45">
        <f>(1-BL8)*'الافتراضات'!$C$86+BL48*'الافتراضات'!$C$113</f>
        <v/>
      </c>
      <c r="BM102" s="45">
        <f>(1-BM8)*'الافتراضات'!$C$86+BM48*'الافتراضات'!$C$113</f>
        <v/>
      </c>
    </row>
    <row r="103">
      <c r="A103" s="4" t="inlineStr">
        <is>
          <t>تسويق الاستحواذ</t>
        </is>
      </c>
      <c r="B103" s="22" t="inlineStr">
        <is>
          <t>ج.م</t>
        </is>
      </c>
      <c r="C103" s="45">
        <f>C53</f>
        <v/>
      </c>
      <c r="D103" s="45">
        <f>D53</f>
        <v/>
      </c>
      <c r="E103" s="45">
        <f>E53</f>
        <v/>
      </c>
      <c r="F103" s="45">
        <f>F53</f>
        <v/>
      </c>
      <c r="G103" s="45">
        <f>G53</f>
        <v/>
      </c>
      <c r="H103" s="45">
        <f>H53</f>
        <v/>
      </c>
      <c r="I103" s="45">
        <f>I53</f>
        <v/>
      </c>
      <c r="J103" s="45">
        <f>J53</f>
        <v/>
      </c>
      <c r="K103" s="45">
        <f>K53</f>
        <v/>
      </c>
      <c r="L103" s="45">
        <f>L53</f>
        <v/>
      </c>
      <c r="M103" s="45">
        <f>M53</f>
        <v/>
      </c>
      <c r="N103" s="45">
        <f>N53</f>
        <v/>
      </c>
      <c r="O103" s="45">
        <f>O53</f>
        <v/>
      </c>
      <c r="P103" s="45">
        <f>P53</f>
        <v/>
      </c>
      <c r="Q103" s="45">
        <f>Q53</f>
        <v/>
      </c>
      <c r="R103" s="45">
        <f>R53</f>
        <v/>
      </c>
      <c r="S103" s="45">
        <f>S53</f>
        <v/>
      </c>
      <c r="T103" s="45">
        <f>T53</f>
        <v/>
      </c>
      <c r="U103" s="45">
        <f>U53</f>
        <v/>
      </c>
      <c r="V103" s="45">
        <f>V53</f>
        <v/>
      </c>
      <c r="W103" s="45">
        <f>W53</f>
        <v/>
      </c>
      <c r="X103" s="45">
        <f>X53</f>
        <v/>
      </c>
      <c r="Y103" s="45">
        <f>Y53</f>
        <v/>
      </c>
      <c r="Z103" s="45">
        <f>Z53</f>
        <v/>
      </c>
      <c r="AA103" s="45">
        <f>AA53</f>
        <v/>
      </c>
      <c r="AB103" s="45">
        <f>AB53</f>
        <v/>
      </c>
      <c r="AC103" s="45">
        <f>AC53</f>
        <v/>
      </c>
      <c r="AD103" s="45">
        <f>AD53</f>
        <v/>
      </c>
      <c r="AE103" s="45">
        <f>AE53</f>
        <v/>
      </c>
      <c r="AF103" s="45">
        <f>AF53</f>
        <v/>
      </c>
      <c r="AG103" s="45">
        <f>AG53</f>
        <v/>
      </c>
      <c r="AH103" s="45">
        <f>AH53</f>
        <v/>
      </c>
      <c r="AI103" s="45">
        <f>AI53</f>
        <v/>
      </c>
      <c r="AJ103" s="45">
        <f>AJ53</f>
        <v/>
      </c>
      <c r="AK103" s="45">
        <f>AK53</f>
        <v/>
      </c>
      <c r="AL103" s="45">
        <f>AL53</f>
        <v/>
      </c>
      <c r="AM103" s="45">
        <f>AM53</f>
        <v/>
      </c>
      <c r="AN103" s="45">
        <f>AN53</f>
        <v/>
      </c>
      <c r="AO103" s="45">
        <f>AO53</f>
        <v/>
      </c>
      <c r="AP103" s="45">
        <f>AP53</f>
        <v/>
      </c>
      <c r="AQ103" s="45">
        <f>AQ53</f>
        <v/>
      </c>
      <c r="AR103" s="45">
        <f>AR53</f>
        <v/>
      </c>
      <c r="AS103" s="45">
        <f>AS53</f>
        <v/>
      </c>
      <c r="AT103" s="45">
        <f>AT53</f>
        <v/>
      </c>
      <c r="AU103" s="45">
        <f>AU53</f>
        <v/>
      </c>
      <c r="AV103" s="45">
        <f>AV53</f>
        <v/>
      </c>
      <c r="AW103" s="45">
        <f>AW53</f>
        <v/>
      </c>
      <c r="AX103" s="45">
        <f>AX53</f>
        <v/>
      </c>
      <c r="AY103" s="45">
        <f>AY53</f>
        <v/>
      </c>
      <c r="AZ103" s="45">
        <f>AZ53</f>
        <v/>
      </c>
      <c r="BA103" s="45">
        <f>BA53</f>
        <v/>
      </c>
      <c r="BB103" s="45">
        <f>BB53</f>
        <v/>
      </c>
      <c r="BC103" s="45">
        <f>BC53</f>
        <v/>
      </c>
      <c r="BD103" s="45">
        <f>BD53</f>
        <v/>
      </c>
      <c r="BE103" s="45">
        <f>BE53</f>
        <v/>
      </c>
      <c r="BF103" s="45">
        <f>BF53</f>
        <v/>
      </c>
      <c r="BG103" s="45">
        <f>BG53</f>
        <v/>
      </c>
      <c r="BH103" s="45">
        <f>BH53</f>
        <v/>
      </c>
      <c r="BI103" s="45">
        <f>BI53</f>
        <v/>
      </c>
      <c r="BJ103" s="45">
        <f>BJ53</f>
        <v/>
      </c>
      <c r="BK103" s="45">
        <f>BK53</f>
        <v/>
      </c>
      <c r="BL103" s="45">
        <f>BL53</f>
        <v/>
      </c>
      <c r="BM103" s="45">
        <f>BM53</f>
        <v/>
      </c>
    </row>
    <row r="104">
      <c r="A104" s="48" t="inlineStr">
        <is>
          <t>إجمالي المصروفات التشغيلية (بدون المتغيرة)</t>
        </is>
      </c>
      <c r="B104" s="49" t="inlineStr">
        <is>
          <t>ج.م</t>
        </is>
      </c>
      <c r="C104" s="50">
        <f>SUM(C95:C103)</f>
        <v/>
      </c>
      <c r="D104" s="50">
        <f>SUM(D95:D103)</f>
        <v/>
      </c>
      <c r="E104" s="50">
        <f>SUM(E95:E103)</f>
        <v/>
      </c>
      <c r="F104" s="50">
        <f>SUM(F95:F103)</f>
        <v/>
      </c>
      <c r="G104" s="50">
        <f>SUM(G95:G103)</f>
        <v/>
      </c>
      <c r="H104" s="50">
        <f>SUM(H95:H103)</f>
        <v/>
      </c>
      <c r="I104" s="50">
        <f>SUM(I95:I103)</f>
        <v/>
      </c>
      <c r="J104" s="50">
        <f>SUM(J95:J103)</f>
        <v/>
      </c>
      <c r="K104" s="50">
        <f>SUM(K95:K103)</f>
        <v/>
      </c>
      <c r="L104" s="50">
        <f>SUM(L95:L103)</f>
        <v/>
      </c>
      <c r="M104" s="50">
        <f>SUM(M95:M103)</f>
        <v/>
      </c>
      <c r="N104" s="50">
        <f>SUM(N95:N103)</f>
        <v/>
      </c>
      <c r="O104" s="50">
        <f>SUM(O95:O103)</f>
        <v/>
      </c>
      <c r="P104" s="50">
        <f>SUM(P95:P103)</f>
        <v/>
      </c>
      <c r="Q104" s="50">
        <f>SUM(Q95:Q103)</f>
        <v/>
      </c>
      <c r="R104" s="50">
        <f>SUM(R95:R103)</f>
        <v/>
      </c>
      <c r="S104" s="50">
        <f>SUM(S95:S103)</f>
        <v/>
      </c>
      <c r="T104" s="50">
        <f>SUM(T95:T103)</f>
        <v/>
      </c>
      <c r="U104" s="50">
        <f>SUM(U95:U103)</f>
        <v/>
      </c>
      <c r="V104" s="50">
        <f>SUM(V95:V103)</f>
        <v/>
      </c>
      <c r="W104" s="50">
        <f>SUM(W95:W103)</f>
        <v/>
      </c>
      <c r="X104" s="50">
        <f>SUM(X95:X103)</f>
        <v/>
      </c>
      <c r="Y104" s="50">
        <f>SUM(Y95:Y103)</f>
        <v/>
      </c>
      <c r="Z104" s="50">
        <f>SUM(Z95:Z103)</f>
        <v/>
      </c>
      <c r="AA104" s="50">
        <f>SUM(AA95:AA103)</f>
        <v/>
      </c>
      <c r="AB104" s="50">
        <f>SUM(AB95:AB103)</f>
        <v/>
      </c>
      <c r="AC104" s="50">
        <f>SUM(AC95:AC103)</f>
        <v/>
      </c>
      <c r="AD104" s="50">
        <f>SUM(AD95:AD103)</f>
        <v/>
      </c>
      <c r="AE104" s="50">
        <f>SUM(AE95:AE103)</f>
        <v/>
      </c>
      <c r="AF104" s="50">
        <f>SUM(AF95:AF103)</f>
        <v/>
      </c>
      <c r="AG104" s="50">
        <f>SUM(AG95:AG103)</f>
        <v/>
      </c>
      <c r="AH104" s="50">
        <f>SUM(AH95:AH103)</f>
        <v/>
      </c>
      <c r="AI104" s="50">
        <f>SUM(AI95:AI103)</f>
        <v/>
      </c>
      <c r="AJ104" s="50">
        <f>SUM(AJ95:AJ103)</f>
        <v/>
      </c>
      <c r="AK104" s="50">
        <f>SUM(AK95:AK103)</f>
        <v/>
      </c>
      <c r="AL104" s="50">
        <f>SUM(AL95:AL103)</f>
        <v/>
      </c>
      <c r="AM104" s="50">
        <f>SUM(AM95:AM103)</f>
        <v/>
      </c>
      <c r="AN104" s="50">
        <f>SUM(AN95:AN103)</f>
        <v/>
      </c>
      <c r="AO104" s="50">
        <f>SUM(AO95:AO103)</f>
        <v/>
      </c>
      <c r="AP104" s="50">
        <f>SUM(AP95:AP103)</f>
        <v/>
      </c>
      <c r="AQ104" s="50">
        <f>SUM(AQ95:AQ103)</f>
        <v/>
      </c>
      <c r="AR104" s="50">
        <f>SUM(AR95:AR103)</f>
        <v/>
      </c>
      <c r="AS104" s="50">
        <f>SUM(AS95:AS103)</f>
        <v/>
      </c>
      <c r="AT104" s="50">
        <f>SUM(AT95:AT103)</f>
        <v/>
      </c>
      <c r="AU104" s="50">
        <f>SUM(AU95:AU103)</f>
        <v/>
      </c>
      <c r="AV104" s="50">
        <f>SUM(AV95:AV103)</f>
        <v/>
      </c>
      <c r="AW104" s="50">
        <f>SUM(AW95:AW103)</f>
        <v/>
      </c>
      <c r="AX104" s="50">
        <f>SUM(AX95:AX103)</f>
        <v/>
      </c>
      <c r="AY104" s="50">
        <f>SUM(AY95:AY103)</f>
        <v/>
      </c>
      <c r="AZ104" s="50">
        <f>SUM(AZ95:AZ103)</f>
        <v/>
      </c>
      <c r="BA104" s="50">
        <f>SUM(BA95:BA103)</f>
        <v/>
      </c>
      <c r="BB104" s="50">
        <f>SUM(BB95:BB103)</f>
        <v/>
      </c>
      <c r="BC104" s="50">
        <f>SUM(BC95:BC103)</f>
        <v/>
      </c>
      <c r="BD104" s="50">
        <f>SUM(BD95:BD103)</f>
        <v/>
      </c>
      <c r="BE104" s="50">
        <f>SUM(BE95:BE103)</f>
        <v/>
      </c>
      <c r="BF104" s="50">
        <f>SUM(BF95:BF103)</f>
        <v/>
      </c>
      <c r="BG104" s="50">
        <f>SUM(BG95:BG103)</f>
        <v/>
      </c>
      <c r="BH104" s="50">
        <f>SUM(BH95:BH103)</f>
        <v/>
      </c>
      <c r="BI104" s="50">
        <f>SUM(BI95:BI103)</f>
        <v/>
      </c>
      <c r="BJ104" s="50">
        <f>SUM(BJ95:BJ103)</f>
        <v/>
      </c>
      <c r="BK104" s="50">
        <f>SUM(BK95:BK103)</f>
        <v/>
      </c>
      <c r="BL104" s="50">
        <f>SUM(BL95:BL103)</f>
        <v/>
      </c>
      <c r="BM104" s="50">
        <f>SUM(BM95:BM103)</f>
        <v/>
      </c>
    </row>
    <row r="105">
      <c r="A105" s="48" t="inlineStr">
        <is>
          <t>EBITDA</t>
        </is>
      </c>
      <c r="B105" s="49" t="inlineStr">
        <is>
          <t>ج.م</t>
        </is>
      </c>
      <c r="C105" s="52">
        <f>C90-C104</f>
        <v/>
      </c>
      <c r="D105" s="52">
        <f>D90-D104</f>
        <v/>
      </c>
      <c r="E105" s="52">
        <f>E90-E104</f>
        <v/>
      </c>
      <c r="F105" s="52">
        <f>F90-F104</f>
        <v/>
      </c>
      <c r="G105" s="52">
        <f>G90-G104</f>
        <v/>
      </c>
      <c r="H105" s="52">
        <f>H90-H104</f>
        <v/>
      </c>
      <c r="I105" s="52">
        <f>I90-I104</f>
        <v/>
      </c>
      <c r="J105" s="52">
        <f>J90-J104</f>
        <v/>
      </c>
      <c r="K105" s="52">
        <f>K90-K104</f>
        <v/>
      </c>
      <c r="L105" s="52">
        <f>L90-L104</f>
        <v/>
      </c>
      <c r="M105" s="52">
        <f>M90-M104</f>
        <v/>
      </c>
      <c r="N105" s="52">
        <f>N90-N104</f>
        <v/>
      </c>
      <c r="O105" s="52">
        <f>O90-O104</f>
        <v/>
      </c>
      <c r="P105" s="52">
        <f>P90-P104</f>
        <v/>
      </c>
      <c r="Q105" s="52">
        <f>Q90-Q104</f>
        <v/>
      </c>
      <c r="R105" s="52">
        <f>R90-R104</f>
        <v/>
      </c>
      <c r="S105" s="52">
        <f>S90-S104</f>
        <v/>
      </c>
      <c r="T105" s="52">
        <f>T90-T104</f>
        <v/>
      </c>
      <c r="U105" s="52">
        <f>U90-U104</f>
        <v/>
      </c>
      <c r="V105" s="52">
        <f>V90-V104</f>
        <v/>
      </c>
      <c r="W105" s="52">
        <f>W90-W104</f>
        <v/>
      </c>
      <c r="X105" s="52">
        <f>X90-X104</f>
        <v/>
      </c>
      <c r="Y105" s="52">
        <f>Y90-Y104</f>
        <v/>
      </c>
      <c r="Z105" s="52">
        <f>Z90-Z104</f>
        <v/>
      </c>
      <c r="AA105" s="52">
        <f>AA90-AA104</f>
        <v/>
      </c>
      <c r="AB105" s="52">
        <f>AB90-AB104</f>
        <v/>
      </c>
      <c r="AC105" s="52">
        <f>AC90-AC104</f>
        <v/>
      </c>
      <c r="AD105" s="52">
        <f>AD90-AD104</f>
        <v/>
      </c>
      <c r="AE105" s="52">
        <f>AE90-AE104</f>
        <v/>
      </c>
      <c r="AF105" s="52">
        <f>AF90-AF104</f>
        <v/>
      </c>
      <c r="AG105" s="52">
        <f>AG90-AG104</f>
        <v/>
      </c>
      <c r="AH105" s="52">
        <f>AH90-AH104</f>
        <v/>
      </c>
      <c r="AI105" s="52">
        <f>AI90-AI104</f>
        <v/>
      </c>
      <c r="AJ105" s="52">
        <f>AJ90-AJ104</f>
        <v/>
      </c>
      <c r="AK105" s="52">
        <f>AK90-AK104</f>
        <v/>
      </c>
      <c r="AL105" s="52">
        <f>AL90-AL104</f>
        <v/>
      </c>
      <c r="AM105" s="52">
        <f>AM90-AM104</f>
        <v/>
      </c>
      <c r="AN105" s="52">
        <f>AN90-AN104</f>
        <v/>
      </c>
      <c r="AO105" s="52">
        <f>AO90-AO104</f>
        <v/>
      </c>
      <c r="AP105" s="52">
        <f>AP90-AP104</f>
        <v/>
      </c>
      <c r="AQ105" s="52">
        <f>AQ90-AQ104</f>
        <v/>
      </c>
      <c r="AR105" s="52">
        <f>AR90-AR104</f>
        <v/>
      </c>
      <c r="AS105" s="52">
        <f>AS90-AS104</f>
        <v/>
      </c>
      <c r="AT105" s="52">
        <f>AT90-AT104</f>
        <v/>
      </c>
      <c r="AU105" s="52">
        <f>AU90-AU104</f>
        <v/>
      </c>
      <c r="AV105" s="52">
        <f>AV90-AV104</f>
        <v/>
      </c>
      <c r="AW105" s="52">
        <f>AW90-AW104</f>
        <v/>
      </c>
      <c r="AX105" s="52">
        <f>AX90-AX104</f>
        <v/>
      </c>
      <c r="AY105" s="52">
        <f>AY90-AY104</f>
        <v/>
      </c>
      <c r="AZ105" s="52">
        <f>AZ90-AZ104</f>
        <v/>
      </c>
      <c r="BA105" s="52">
        <f>BA90-BA104</f>
        <v/>
      </c>
      <c r="BB105" s="52">
        <f>BB90-BB104</f>
        <v/>
      </c>
      <c r="BC105" s="52">
        <f>BC90-BC104</f>
        <v/>
      </c>
      <c r="BD105" s="52">
        <f>BD90-BD104</f>
        <v/>
      </c>
      <c r="BE105" s="52">
        <f>BE90-BE104</f>
        <v/>
      </c>
      <c r="BF105" s="52">
        <f>BF90-BF104</f>
        <v/>
      </c>
      <c r="BG105" s="52">
        <f>BG90-BG104</f>
        <v/>
      </c>
      <c r="BH105" s="52">
        <f>BH90-BH104</f>
        <v/>
      </c>
      <c r="BI105" s="52">
        <f>BI90-BI104</f>
        <v/>
      </c>
      <c r="BJ105" s="52">
        <f>BJ90-BJ104</f>
        <v/>
      </c>
      <c r="BK105" s="52">
        <f>BK90-BK104</f>
        <v/>
      </c>
      <c r="BL105" s="52">
        <f>BL90-BL104</f>
        <v/>
      </c>
      <c r="BM105" s="52">
        <f>BM90-BM104</f>
        <v/>
      </c>
    </row>
    <row r="106">
      <c r="A106" s="4" t="inlineStr">
        <is>
          <t>التكاليف المركزية (التقنية والإدارة والمصروفات العمومية والعلامة)</t>
        </is>
      </c>
      <c r="B106" s="22" t="inlineStr">
        <is>
          <t>ج.م</t>
        </is>
      </c>
      <c r="C106" s="45">
        <f>C98+C99+C100</f>
        <v/>
      </c>
      <c r="D106" s="45">
        <f>D98+D99+D100</f>
        <v/>
      </c>
      <c r="E106" s="45">
        <f>E98+E99+E100</f>
        <v/>
      </c>
      <c r="F106" s="45">
        <f>F98+F99+F100</f>
        <v/>
      </c>
      <c r="G106" s="45">
        <f>G98+G99+G100</f>
        <v/>
      </c>
      <c r="H106" s="45">
        <f>H98+H99+H100</f>
        <v/>
      </c>
      <c r="I106" s="45">
        <f>I98+I99+I100</f>
        <v/>
      </c>
      <c r="J106" s="45">
        <f>J98+J99+J100</f>
        <v/>
      </c>
      <c r="K106" s="45">
        <f>K98+K99+K100</f>
        <v/>
      </c>
      <c r="L106" s="45">
        <f>L98+L99+L100</f>
        <v/>
      </c>
      <c r="M106" s="45">
        <f>M98+M99+M100</f>
        <v/>
      </c>
      <c r="N106" s="45">
        <f>N98+N99+N100</f>
        <v/>
      </c>
      <c r="O106" s="45">
        <f>O98+O99+O100</f>
        <v/>
      </c>
      <c r="P106" s="45">
        <f>P98+P99+P100</f>
        <v/>
      </c>
      <c r="Q106" s="45">
        <f>Q98+Q99+Q100</f>
        <v/>
      </c>
      <c r="R106" s="45">
        <f>R98+R99+R100</f>
        <v/>
      </c>
      <c r="S106" s="45">
        <f>S98+S99+S100</f>
        <v/>
      </c>
      <c r="T106" s="45">
        <f>T98+T99+T100</f>
        <v/>
      </c>
      <c r="U106" s="45">
        <f>U98+U99+U100</f>
        <v/>
      </c>
      <c r="V106" s="45">
        <f>V98+V99+V100</f>
        <v/>
      </c>
      <c r="W106" s="45">
        <f>W98+W99+W100</f>
        <v/>
      </c>
      <c r="X106" s="45">
        <f>X98+X99+X100</f>
        <v/>
      </c>
      <c r="Y106" s="45">
        <f>Y98+Y99+Y100</f>
        <v/>
      </c>
      <c r="Z106" s="45">
        <f>Z98+Z99+Z100</f>
        <v/>
      </c>
      <c r="AA106" s="45">
        <f>AA98+AA99+AA100</f>
        <v/>
      </c>
      <c r="AB106" s="45">
        <f>AB98+AB99+AB100</f>
        <v/>
      </c>
      <c r="AC106" s="45">
        <f>AC98+AC99+AC100</f>
        <v/>
      </c>
      <c r="AD106" s="45">
        <f>AD98+AD99+AD100</f>
        <v/>
      </c>
      <c r="AE106" s="45">
        <f>AE98+AE99+AE100</f>
        <v/>
      </c>
      <c r="AF106" s="45">
        <f>AF98+AF99+AF100</f>
        <v/>
      </c>
      <c r="AG106" s="45">
        <f>AG98+AG99+AG100</f>
        <v/>
      </c>
      <c r="AH106" s="45">
        <f>AH98+AH99+AH100</f>
        <v/>
      </c>
      <c r="AI106" s="45">
        <f>AI98+AI99+AI100</f>
        <v/>
      </c>
      <c r="AJ106" s="45">
        <f>AJ98+AJ99+AJ100</f>
        <v/>
      </c>
      <c r="AK106" s="45">
        <f>AK98+AK99+AK100</f>
        <v/>
      </c>
      <c r="AL106" s="45">
        <f>AL98+AL99+AL100</f>
        <v/>
      </c>
      <c r="AM106" s="45">
        <f>AM98+AM99+AM100</f>
        <v/>
      </c>
      <c r="AN106" s="45">
        <f>AN98+AN99+AN100</f>
        <v/>
      </c>
      <c r="AO106" s="45">
        <f>AO98+AO99+AO100</f>
        <v/>
      </c>
      <c r="AP106" s="45">
        <f>AP98+AP99+AP100</f>
        <v/>
      </c>
      <c r="AQ106" s="45">
        <f>AQ98+AQ99+AQ100</f>
        <v/>
      </c>
      <c r="AR106" s="45">
        <f>AR98+AR99+AR100</f>
        <v/>
      </c>
      <c r="AS106" s="45">
        <f>AS98+AS99+AS100</f>
        <v/>
      </c>
      <c r="AT106" s="45">
        <f>AT98+AT99+AT100</f>
        <v/>
      </c>
      <c r="AU106" s="45">
        <f>AU98+AU99+AU100</f>
        <v/>
      </c>
      <c r="AV106" s="45">
        <f>AV98+AV99+AV100</f>
        <v/>
      </c>
      <c r="AW106" s="45">
        <f>AW98+AW99+AW100</f>
        <v/>
      </c>
      <c r="AX106" s="45">
        <f>AX98+AX99+AX100</f>
        <v/>
      </c>
      <c r="AY106" s="45">
        <f>AY98+AY99+AY100</f>
        <v/>
      </c>
      <c r="AZ106" s="45">
        <f>AZ98+AZ99+AZ100</f>
        <v/>
      </c>
      <c r="BA106" s="45">
        <f>BA98+BA99+BA100</f>
        <v/>
      </c>
      <c r="BB106" s="45">
        <f>BB98+BB99+BB100</f>
        <v/>
      </c>
      <c r="BC106" s="45">
        <f>BC98+BC99+BC100</f>
        <v/>
      </c>
      <c r="BD106" s="45">
        <f>BD98+BD99+BD100</f>
        <v/>
      </c>
      <c r="BE106" s="45">
        <f>BE98+BE99+BE100</f>
        <v/>
      </c>
      <c r="BF106" s="45">
        <f>BF98+BF99+BF100</f>
        <v/>
      </c>
      <c r="BG106" s="45">
        <f>BG98+BG99+BG100</f>
        <v/>
      </c>
      <c r="BH106" s="45">
        <f>BH98+BH99+BH100</f>
        <v/>
      </c>
      <c r="BI106" s="45">
        <f>BI98+BI99+BI100</f>
        <v/>
      </c>
      <c r="BJ106" s="45">
        <f>BJ98+BJ99+BJ100</f>
        <v/>
      </c>
      <c r="BK106" s="45">
        <f>BK98+BK99+BK100</f>
        <v/>
      </c>
      <c r="BL106" s="45">
        <f>BL98+BL99+BL100</f>
        <v/>
      </c>
      <c r="BM106" s="45">
        <f>BM98+BM99+BM100</f>
        <v/>
      </c>
    </row>
    <row r="107">
      <c r="A107" s="15" t="inlineStr">
        <is>
          <t>EBITDA على مستوى المركز (قبل التكاليف المركزية)</t>
        </is>
      </c>
      <c r="B107" s="22" t="inlineStr">
        <is>
          <t>ج.م</t>
        </is>
      </c>
      <c r="C107" s="45">
        <f>C105+C106</f>
        <v/>
      </c>
      <c r="D107" s="45">
        <f>D105+D106</f>
        <v/>
      </c>
      <c r="E107" s="45">
        <f>E105+E106</f>
        <v/>
      </c>
      <c r="F107" s="45">
        <f>F105+F106</f>
        <v/>
      </c>
      <c r="G107" s="45">
        <f>G105+G106</f>
        <v/>
      </c>
      <c r="H107" s="45">
        <f>H105+H106</f>
        <v/>
      </c>
      <c r="I107" s="45">
        <f>I105+I106</f>
        <v/>
      </c>
      <c r="J107" s="45">
        <f>J105+J106</f>
        <v/>
      </c>
      <c r="K107" s="45">
        <f>K105+K106</f>
        <v/>
      </c>
      <c r="L107" s="45">
        <f>L105+L106</f>
        <v/>
      </c>
      <c r="M107" s="45">
        <f>M105+M106</f>
        <v/>
      </c>
      <c r="N107" s="45">
        <f>N105+N106</f>
        <v/>
      </c>
      <c r="O107" s="45">
        <f>O105+O106</f>
        <v/>
      </c>
      <c r="P107" s="45">
        <f>P105+P106</f>
        <v/>
      </c>
      <c r="Q107" s="45">
        <f>Q105+Q106</f>
        <v/>
      </c>
      <c r="R107" s="45">
        <f>R105+R106</f>
        <v/>
      </c>
      <c r="S107" s="45">
        <f>S105+S106</f>
        <v/>
      </c>
      <c r="T107" s="45">
        <f>T105+T106</f>
        <v/>
      </c>
      <c r="U107" s="45">
        <f>U105+U106</f>
        <v/>
      </c>
      <c r="V107" s="45">
        <f>V105+V106</f>
        <v/>
      </c>
      <c r="W107" s="45">
        <f>W105+W106</f>
        <v/>
      </c>
      <c r="X107" s="45">
        <f>X105+X106</f>
        <v/>
      </c>
      <c r="Y107" s="45">
        <f>Y105+Y106</f>
        <v/>
      </c>
      <c r="Z107" s="45">
        <f>Z105+Z106</f>
        <v/>
      </c>
      <c r="AA107" s="45">
        <f>AA105+AA106</f>
        <v/>
      </c>
      <c r="AB107" s="45">
        <f>AB105+AB106</f>
        <v/>
      </c>
      <c r="AC107" s="45">
        <f>AC105+AC106</f>
        <v/>
      </c>
      <c r="AD107" s="45">
        <f>AD105+AD106</f>
        <v/>
      </c>
      <c r="AE107" s="45">
        <f>AE105+AE106</f>
        <v/>
      </c>
      <c r="AF107" s="45">
        <f>AF105+AF106</f>
        <v/>
      </c>
      <c r="AG107" s="45">
        <f>AG105+AG106</f>
        <v/>
      </c>
      <c r="AH107" s="45">
        <f>AH105+AH106</f>
        <v/>
      </c>
      <c r="AI107" s="45">
        <f>AI105+AI106</f>
        <v/>
      </c>
      <c r="AJ107" s="45">
        <f>AJ105+AJ106</f>
        <v/>
      </c>
      <c r="AK107" s="45">
        <f>AK105+AK106</f>
        <v/>
      </c>
      <c r="AL107" s="45">
        <f>AL105+AL106</f>
        <v/>
      </c>
      <c r="AM107" s="45">
        <f>AM105+AM106</f>
        <v/>
      </c>
      <c r="AN107" s="45">
        <f>AN105+AN106</f>
        <v/>
      </c>
      <c r="AO107" s="45">
        <f>AO105+AO106</f>
        <v/>
      </c>
      <c r="AP107" s="45">
        <f>AP105+AP106</f>
        <v/>
      </c>
      <c r="AQ107" s="45">
        <f>AQ105+AQ106</f>
        <v/>
      </c>
      <c r="AR107" s="45">
        <f>AR105+AR106</f>
        <v/>
      </c>
      <c r="AS107" s="45">
        <f>AS105+AS106</f>
        <v/>
      </c>
      <c r="AT107" s="45">
        <f>AT105+AT106</f>
        <v/>
      </c>
      <c r="AU107" s="45">
        <f>AU105+AU106</f>
        <v/>
      </c>
      <c r="AV107" s="45">
        <f>AV105+AV106</f>
        <v/>
      </c>
      <c r="AW107" s="45">
        <f>AW105+AW106</f>
        <v/>
      </c>
      <c r="AX107" s="45">
        <f>AX105+AX106</f>
        <v/>
      </c>
      <c r="AY107" s="45">
        <f>AY105+AY106</f>
        <v/>
      </c>
      <c r="AZ107" s="45">
        <f>AZ105+AZ106</f>
        <v/>
      </c>
      <c r="BA107" s="45">
        <f>BA105+BA106</f>
        <v/>
      </c>
      <c r="BB107" s="45">
        <f>BB105+BB106</f>
        <v/>
      </c>
      <c r="BC107" s="45">
        <f>BC105+BC106</f>
        <v/>
      </c>
      <c r="BD107" s="45">
        <f>BD105+BD106</f>
        <v/>
      </c>
      <c r="BE107" s="45">
        <f>BE105+BE106</f>
        <v/>
      </c>
      <c r="BF107" s="45">
        <f>BF105+BF106</f>
        <v/>
      </c>
      <c r="BG107" s="45">
        <f>BG105+BG106</f>
        <v/>
      </c>
      <c r="BH107" s="45">
        <f>BH105+BH106</f>
        <v/>
      </c>
      <c r="BI107" s="45">
        <f>BI105+BI106</f>
        <v/>
      </c>
      <c r="BJ107" s="45">
        <f>BJ105+BJ106</f>
        <v/>
      </c>
      <c r="BK107" s="45">
        <f>BK105+BK106</f>
        <v/>
      </c>
      <c r="BL107" s="45">
        <f>BL105+BL106</f>
        <v/>
      </c>
      <c r="BM107" s="45">
        <f>BM105+BM106</f>
        <v/>
      </c>
    </row>
    <row r="108">
      <c r="A108" s="4" t="inlineStr">
        <is>
          <t>هامش EBITDA (% من GMV)</t>
        </is>
      </c>
      <c r="B108" s="22" t="inlineStr">
        <is>
          <t>%</t>
        </is>
      </c>
      <c r="C108" s="29">
        <f>IF(C58&gt;0,C105/C58,0)</f>
        <v/>
      </c>
      <c r="D108" s="29">
        <f>IF(D58&gt;0,D105/D58,0)</f>
        <v/>
      </c>
      <c r="E108" s="29">
        <f>IF(E58&gt;0,E105/E58,0)</f>
        <v/>
      </c>
      <c r="F108" s="29">
        <f>IF(F58&gt;0,F105/F58,0)</f>
        <v/>
      </c>
      <c r="G108" s="29">
        <f>IF(G58&gt;0,G105/G58,0)</f>
        <v/>
      </c>
      <c r="H108" s="29">
        <f>IF(H58&gt;0,H105/H58,0)</f>
        <v/>
      </c>
      <c r="I108" s="29">
        <f>IF(I58&gt;0,I105/I58,0)</f>
        <v/>
      </c>
      <c r="J108" s="29">
        <f>IF(J58&gt;0,J105/J58,0)</f>
        <v/>
      </c>
      <c r="K108" s="29">
        <f>IF(K58&gt;0,K105/K58,0)</f>
        <v/>
      </c>
      <c r="L108" s="29">
        <f>IF(L58&gt;0,L105/L58,0)</f>
        <v/>
      </c>
      <c r="M108" s="29">
        <f>IF(M58&gt;0,M105/M58,0)</f>
        <v/>
      </c>
      <c r="N108" s="29">
        <f>IF(N58&gt;0,N105/N58,0)</f>
        <v/>
      </c>
      <c r="O108" s="29">
        <f>IF(O58&gt;0,O105/O58,0)</f>
        <v/>
      </c>
      <c r="P108" s="29">
        <f>IF(P58&gt;0,P105/P58,0)</f>
        <v/>
      </c>
      <c r="Q108" s="29">
        <f>IF(Q58&gt;0,Q105/Q58,0)</f>
        <v/>
      </c>
      <c r="R108" s="29">
        <f>IF(R58&gt;0,R105/R58,0)</f>
        <v/>
      </c>
      <c r="S108" s="29">
        <f>IF(S58&gt;0,S105/S58,0)</f>
        <v/>
      </c>
      <c r="T108" s="29">
        <f>IF(T58&gt;0,T105/T58,0)</f>
        <v/>
      </c>
      <c r="U108" s="29">
        <f>IF(U58&gt;0,U105/U58,0)</f>
        <v/>
      </c>
      <c r="V108" s="29">
        <f>IF(V58&gt;0,V105/V58,0)</f>
        <v/>
      </c>
      <c r="W108" s="29">
        <f>IF(W58&gt;0,W105/W58,0)</f>
        <v/>
      </c>
      <c r="X108" s="29">
        <f>IF(X58&gt;0,X105/X58,0)</f>
        <v/>
      </c>
      <c r="Y108" s="29">
        <f>IF(Y58&gt;0,Y105/Y58,0)</f>
        <v/>
      </c>
      <c r="Z108" s="29">
        <f>IF(Z58&gt;0,Z105/Z58,0)</f>
        <v/>
      </c>
      <c r="AA108" s="29">
        <f>IF(AA58&gt;0,AA105/AA58,0)</f>
        <v/>
      </c>
      <c r="AB108" s="29">
        <f>IF(AB58&gt;0,AB105/AB58,0)</f>
        <v/>
      </c>
      <c r="AC108" s="29">
        <f>IF(AC58&gt;0,AC105/AC58,0)</f>
        <v/>
      </c>
      <c r="AD108" s="29">
        <f>IF(AD58&gt;0,AD105/AD58,0)</f>
        <v/>
      </c>
      <c r="AE108" s="29">
        <f>IF(AE58&gt;0,AE105/AE58,0)</f>
        <v/>
      </c>
      <c r="AF108" s="29">
        <f>IF(AF58&gt;0,AF105/AF58,0)</f>
        <v/>
      </c>
      <c r="AG108" s="29">
        <f>IF(AG58&gt;0,AG105/AG58,0)</f>
        <v/>
      </c>
      <c r="AH108" s="29">
        <f>IF(AH58&gt;0,AH105/AH58,0)</f>
        <v/>
      </c>
      <c r="AI108" s="29">
        <f>IF(AI58&gt;0,AI105/AI58,0)</f>
        <v/>
      </c>
      <c r="AJ108" s="29">
        <f>IF(AJ58&gt;0,AJ105/AJ58,0)</f>
        <v/>
      </c>
      <c r="AK108" s="29">
        <f>IF(AK58&gt;0,AK105/AK58,0)</f>
        <v/>
      </c>
      <c r="AL108" s="29">
        <f>IF(AL58&gt;0,AL105/AL58,0)</f>
        <v/>
      </c>
      <c r="AM108" s="29">
        <f>IF(AM58&gt;0,AM105/AM58,0)</f>
        <v/>
      </c>
      <c r="AN108" s="29">
        <f>IF(AN58&gt;0,AN105/AN58,0)</f>
        <v/>
      </c>
      <c r="AO108" s="29">
        <f>IF(AO58&gt;0,AO105/AO58,0)</f>
        <v/>
      </c>
      <c r="AP108" s="29">
        <f>IF(AP58&gt;0,AP105/AP58,0)</f>
        <v/>
      </c>
      <c r="AQ108" s="29">
        <f>IF(AQ58&gt;0,AQ105/AQ58,0)</f>
        <v/>
      </c>
      <c r="AR108" s="29">
        <f>IF(AR58&gt;0,AR105/AR58,0)</f>
        <v/>
      </c>
      <c r="AS108" s="29">
        <f>IF(AS58&gt;0,AS105/AS58,0)</f>
        <v/>
      </c>
      <c r="AT108" s="29">
        <f>IF(AT58&gt;0,AT105/AT58,0)</f>
        <v/>
      </c>
      <c r="AU108" s="29">
        <f>IF(AU58&gt;0,AU105/AU58,0)</f>
        <v/>
      </c>
      <c r="AV108" s="29">
        <f>IF(AV58&gt;0,AV105/AV58,0)</f>
        <v/>
      </c>
      <c r="AW108" s="29">
        <f>IF(AW58&gt;0,AW105/AW58,0)</f>
        <v/>
      </c>
      <c r="AX108" s="29">
        <f>IF(AX58&gt;0,AX105/AX58,0)</f>
        <v/>
      </c>
      <c r="AY108" s="29">
        <f>IF(AY58&gt;0,AY105/AY58,0)</f>
        <v/>
      </c>
      <c r="AZ108" s="29">
        <f>IF(AZ58&gt;0,AZ105/AZ58,0)</f>
        <v/>
      </c>
      <c r="BA108" s="29">
        <f>IF(BA58&gt;0,BA105/BA58,0)</f>
        <v/>
      </c>
      <c r="BB108" s="29">
        <f>IF(BB58&gt;0,BB105/BB58,0)</f>
        <v/>
      </c>
      <c r="BC108" s="29">
        <f>IF(BC58&gt;0,BC105/BC58,0)</f>
        <v/>
      </c>
      <c r="BD108" s="29">
        <f>IF(BD58&gt;0,BD105/BD58,0)</f>
        <v/>
      </c>
      <c r="BE108" s="29">
        <f>IF(BE58&gt;0,BE105/BE58,0)</f>
        <v/>
      </c>
      <c r="BF108" s="29">
        <f>IF(BF58&gt;0,BF105/BF58,0)</f>
        <v/>
      </c>
      <c r="BG108" s="29">
        <f>IF(BG58&gt;0,BG105/BG58,0)</f>
        <v/>
      </c>
      <c r="BH108" s="29">
        <f>IF(BH58&gt;0,BH105/BH58,0)</f>
        <v/>
      </c>
      <c r="BI108" s="29">
        <f>IF(BI58&gt;0,BI105/BI58,0)</f>
        <v/>
      </c>
      <c r="BJ108" s="29">
        <f>IF(BJ58&gt;0,BJ105/BJ58,0)</f>
        <v/>
      </c>
      <c r="BK108" s="29">
        <f>IF(BK58&gt;0,BK105/BK58,0)</f>
        <v/>
      </c>
      <c r="BL108" s="29">
        <f>IF(BL58&gt;0,BL105/BL58,0)</f>
        <v/>
      </c>
      <c r="BM108" s="29">
        <f>IF(BM58&gt;0,BM105/BM58,0)</f>
        <v/>
      </c>
    </row>
    <row r="109"/>
    <row r="110">
      <c r="A110" s="40" t="inlineStr">
        <is>
          <t>الإهلاك والضريبة وصافي الدخل</t>
        </is>
      </c>
      <c r="B110" s="41" t="n"/>
      <c r="C110" s="41" t="n"/>
      <c r="D110" s="41" t="n"/>
      <c r="E110" s="41" t="n"/>
      <c r="F110" s="41" t="n"/>
      <c r="G110" s="41" t="n"/>
      <c r="H110" s="41" t="n"/>
      <c r="I110" s="41" t="n"/>
      <c r="J110" s="41" t="n"/>
      <c r="K110" s="41" t="n"/>
      <c r="L110" s="41" t="n"/>
      <c r="M110" s="41" t="n"/>
      <c r="N110" s="41" t="n"/>
      <c r="O110" s="41" t="n"/>
      <c r="P110" s="41" t="n"/>
      <c r="Q110" s="41" t="n"/>
      <c r="R110" s="41" t="n"/>
      <c r="S110" s="41" t="n"/>
      <c r="T110" s="41" t="n"/>
      <c r="U110" s="41" t="n"/>
      <c r="V110" s="41" t="n"/>
      <c r="W110" s="41" t="n"/>
      <c r="X110" s="41" t="n"/>
      <c r="Y110" s="41" t="n"/>
      <c r="Z110" s="41" t="n"/>
      <c r="AA110" s="41" t="n"/>
      <c r="AB110" s="41" t="n"/>
      <c r="AC110" s="41" t="n"/>
      <c r="AD110" s="41" t="n"/>
      <c r="AE110" s="41" t="n"/>
      <c r="AF110" s="41" t="n"/>
      <c r="AG110" s="41" t="n"/>
      <c r="AH110" s="41" t="n"/>
      <c r="AI110" s="41" t="n"/>
      <c r="AJ110" s="41" t="n"/>
      <c r="AK110" s="41" t="n"/>
      <c r="AL110" s="41" t="n"/>
      <c r="AM110" s="41" t="n"/>
      <c r="AN110" s="41" t="n"/>
      <c r="AO110" s="41" t="n"/>
      <c r="AP110" s="41" t="n"/>
      <c r="AQ110" s="41" t="n"/>
      <c r="AR110" s="41" t="n"/>
      <c r="AS110" s="41" t="n"/>
      <c r="AT110" s="41" t="n"/>
      <c r="AU110" s="41" t="n"/>
      <c r="AV110" s="41" t="n"/>
      <c r="AW110" s="41" t="n"/>
      <c r="AX110" s="41" t="n"/>
      <c r="AY110" s="41" t="n"/>
      <c r="AZ110" s="41" t="n"/>
      <c r="BA110" s="41" t="n"/>
      <c r="BB110" s="41" t="n"/>
      <c r="BC110" s="41" t="n"/>
      <c r="BD110" s="41" t="n"/>
      <c r="BE110" s="41" t="n"/>
      <c r="BF110" s="41" t="n"/>
      <c r="BG110" s="41" t="n"/>
      <c r="BH110" s="41" t="n"/>
      <c r="BI110" s="41" t="n"/>
      <c r="BJ110" s="41" t="n"/>
      <c r="BK110" s="41" t="n"/>
      <c r="BL110" s="41" t="n"/>
      <c r="BM110" s="41" t="n"/>
    </row>
    <row r="111">
      <c r="A111" s="4" t="inlineStr">
        <is>
          <t>الإنفاق الرأسمالي — بناء المنصة</t>
        </is>
      </c>
      <c r="B111" s="22" t="inlineStr">
        <is>
          <t>ج.م</t>
        </is>
      </c>
      <c r="C111" s="45">
        <f>IF(C7&lt;=0,'الافتراضات'!$C$90/3,0)</f>
        <v/>
      </c>
      <c r="D111" s="45">
        <f>IF(D7&lt;=0,'الافتراضات'!$C$90/3,0)</f>
        <v/>
      </c>
      <c r="E111" s="45">
        <f>IF(E7&lt;=0,'الافتراضات'!$C$90/3,0)</f>
        <v/>
      </c>
      <c r="F111" s="45">
        <f>IF(F7&lt;=0,'الافتراضات'!$C$90/3,0)</f>
        <v/>
      </c>
      <c r="G111" s="45">
        <f>IF(G7&lt;=0,'الافتراضات'!$C$90/3,0)</f>
        <v/>
      </c>
      <c r="H111" s="45">
        <f>IF(H7&lt;=0,'الافتراضات'!$C$90/3,0)</f>
        <v/>
      </c>
      <c r="I111" s="45">
        <f>IF(I7&lt;=0,'الافتراضات'!$C$90/3,0)</f>
        <v/>
      </c>
      <c r="J111" s="45">
        <f>IF(J7&lt;=0,'الافتراضات'!$C$90/3,0)</f>
        <v/>
      </c>
      <c r="K111" s="45">
        <f>IF(K7&lt;=0,'الافتراضات'!$C$90/3,0)</f>
        <v/>
      </c>
      <c r="L111" s="45">
        <f>IF(L7&lt;=0,'الافتراضات'!$C$90/3,0)</f>
        <v/>
      </c>
      <c r="M111" s="45">
        <f>IF(M7&lt;=0,'الافتراضات'!$C$90/3,0)</f>
        <v/>
      </c>
      <c r="N111" s="45">
        <f>IF(N7&lt;=0,'الافتراضات'!$C$90/3,0)</f>
        <v/>
      </c>
      <c r="O111" s="45">
        <f>IF(O7&lt;=0,'الافتراضات'!$C$90/3,0)</f>
        <v/>
      </c>
      <c r="P111" s="45">
        <f>IF(P7&lt;=0,'الافتراضات'!$C$90/3,0)</f>
        <v/>
      </c>
      <c r="Q111" s="45">
        <f>IF(Q7&lt;=0,'الافتراضات'!$C$90/3,0)</f>
        <v/>
      </c>
      <c r="R111" s="45">
        <f>IF(R7&lt;=0,'الافتراضات'!$C$90/3,0)</f>
        <v/>
      </c>
      <c r="S111" s="45">
        <f>IF(S7&lt;=0,'الافتراضات'!$C$90/3,0)</f>
        <v/>
      </c>
      <c r="T111" s="45">
        <f>IF(T7&lt;=0,'الافتراضات'!$C$90/3,0)</f>
        <v/>
      </c>
      <c r="U111" s="45">
        <f>IF(U7&lt;=0,'الافتراضات'!$C$90/3,0)</f>
        <v/>
      </c>
      <c r="V111" s="45">
        <f>IF(V7&lt;=0,'الافتراضات'!$C$90/3,0)</f>
        <v/>
      </c>
      <c r="W111" s="45">
        <f>IF(W7&lt;=0,'الافتراضات'!$C$90/3,0)</f>
        <v/>
      </c>
      <c r="X111" s="45">
        <f>IF(X7&lt;=0,'الافتراضات'!$C$90/3,0)</f>
        <v/>
      </c>
      <c r="Y111" s="45">
        <f>IF(Y7&lt;=0,'الافتراضات'!$C$90/3,0)</f>
        <v/>
      </c>
      <c r="Z111" s="45">
        <f>IF(Z7&lt;=0,'الافتراضات'!$C$90/3,0)</f>
        <v/>
      </c>
      <c r="AA111" s="45">
        <f>IF(AA7&lt;=0,'الافتراضات'!$C$90/3,0)</f>
        <v/>
      </c>
      <c r="AB111" s="45">
        <f>IF(AB7&lt;=0,'الافتراضات'!$C$90/3,0)</f>
        <v/>
      </c>
      <c r="AC111" s="45">
        <f>IF(AC7&lt;=0,'الافتراضات'!$C$90/3,0)</f>
        <v/>
      </c>
      <c r="AD111" s="45">
        <f>IF(AD7&lt;=0,'الافتراضات'!$C$90/3,0)</f>
        <v/>
      </c>
      <c r="AE111" s="45">
        <f>IF(AE7&lt;=0,'الافتراضات'!$C$90/3,0)</f>
        <v/>
      </c>
      <c r="AF111" s="45">
        <f>IF(AF7&lt;=0,'الافتراضات'!$C$90/3,0)</f>
        <v/>
      </c>
      <c r="AG111" s="45">
        <f>IF(AG7&lt;=0,'الافتراضات'!$C$90/3,0)</f>
        <v/>
      </c>
      <c r="AH111" s="45">
        <f>IF(AH7&lt;=0,'الافتراضات'!$C$90/3,0)</f>
        <v/>
      </c>
      <c r="AI111" s="45">
        <f>IF(AI7&lt;=0,'الافتراضات'!$C$90/3,0)</f>
        <v/>
      </c>
      <c r="AJ111" s="45">
        <f>IF(AJ7&lt;=0,'الافتراضات'!$C$90/3,0)</f>
        <v/>
      </c>
      <c r="AK111" s="45">
        <f>IF(AK7&lt;=0,'الافتراضات'!$C$90/3,0)</f>
        <v/>
      </c>
      <c r="AL111" s="45">
        <f>IF(AL7&lt;=0,'الافتراضات'!$C$90/3,0)</f>
        <v/>
      </c>
      <c r="AM111" s="45">
        <f>IF(AM7&lt;=0,'الافتراضات'!$C$90/3,0)</f>
        <v/>
      </c>
      <c r="AN111" s="45">
        <f>IF(AN7&lt;=0,'الافتراضات'!$C$90/3,0)</f>
        <v/>
      </c>
      <c r="AO111" s="45">
        <f>IF(AO7&lt;=0,'الافتراضات'!$C$90/3,0)</f>
        <v/>
      </c>
      <c r="AP111" s="45">
        <f>IF(AP7&lt;=0,'الافتراضات'!$C$90/3,0)</f>
        <v/>
      </c>
      <c r="AQ111" s="45">
        <f>IF(AQ7&lt;=0,'الافتراضات'!$C$90/3,0)</f>
        <v/>
      </c>
      <c r="AR111" s="45">
        <f>IF(AR7&lt;=0,'الافتراضات'!$C$90/3,0)</f>
        <v/>
      </c>
      <c r="AS111" s="45">
        <f>IF(AS7&lt;=0,'الافتراضات'!$C$90/3,0)</f>
        <v/>
      </c>
      <c r="AT111" s="45">
        <f>IF(AT7&lt;=0,'الافتراضات'!$C$90/3,0)</f>
        <v/>
      </c>
      <c r="AU111" s="45">
        <f>IF(AU7&lt;=0,'الافتراضات'!$C$90/3,0)</f>
        <v/>
      </c>
      <c r="AV111" s="45">
        <f>IF(AV7&lt;=0,'الافتراضات'!$C$90/3,0)</f>
        <v/>
      </c>
      <c r="AW111" s="45">
        <f>IF(AW7&lt;=0,'الافتراضات'!$C$90/3,0)</f>
        <v/>
      </c>
      <c r="AX111" s="45">
        <f>IF(AX7&lt;=0,'الافتراضات'!$C$90/3,0)</f>
        <v/>
      </c>
      <c r="AY111" s="45">
        <f>IF(AY7&lt;=0,'الافتراضات'!$C$90/3,0)</f>
        <v/>
      </c>
      <c r="AZ111" s="45">
        <f>IF(AZ7&lt;=0,'الافتراضات'!$C$90/3,0)</f>
        <v/>
      </c>
      <c r="BA111" s="45">
        <f>IF(BA7&lt;=0,'الافتراضات'!$C$90/3,0)</f>
        <v/>
      </c>
      <c r="BB111" s="45">
        <f>IF(BB7&lt;=0,'الافتراضات'!$C$90/3,0)</f>
        <v/>
      </c>
      <c r="BC111" s="45">
        <f>IF(BC7&lt;=0,'الافتراضات'!$C$90/3,0)</f>
        <v/>
      </c>
      <c r="BD111" s="45">
        <f>IF(BD7&lt;=0,'الافتراضات'!$C$90/3,0)</f>
        <v/>
      </c>
      <c r="BE111" s="45">
        <f>IF(BE7&lt;=0,'الافتراضات'!$C$90/3,0)</f>
        <v/>
      </c>
      <c r="BF111" s="45">
        <f>IF(BF7&lt;=0,'الافتراضات'!$C$90/3,0)</f>
        <v/>
      </c>
      <c r="BG111" s="45">
        <f>IF(BG7&lt;=0,'الافتراضات'!$C$90/3,0)</f>
        <v/>
      </c>
      <c r="BH111" s="45">
        <f>IF(BH7&lt;=0,'الافتراضات'!$C$90/3,0)</f>
        <v/>
      </c>
      <c r="BI111" s="45">
        <f>IF(BI7&lt;=0,'الافتراضات'!$C$90/3,0)</f>
        <v/>
      </c>
      <c r="BJ111" s="45">
        <f>IF(BJ7&lt;=0,'الافتراضات'!$C$90/3,0)</f>
        <v/>
      </c>
      <c r="BK111" s="45">
        <f>IF(BK7&lt;=0,'الافتراضات'!$C$90/3,0)</f>
        <v/>
      </c>
      <c r="BL111" s="45">
        <f>IF(BL7&lt;=0,'الافتراضات'!$C$90/3,0)</f>
        <v/>
      </c>
      <c r="BM111" s="45">
        <f>IF(BM7&lt;=0,'الافتراضات'!$C$90/3,0)</f>
        <v/>
      </c>
    </row>
    <row r="112">
      <c r="A112" s="4" t="inlineStr">
        <is>
          <t>الإنفاق الرأسمالي — الهبات وعدة المناديب</t>
        </is>
      </c>
      <c r="B112" s="22" t="inlineStr">
        <is>
          <t>ج.م</t>
        </is>
      </c>
      <c r="C112" s="45">
        <f>IF(C7=0,'الافتراضات'!$C$91+'الافتراضات'!$C$93,0)+IF(C7='الافتراضات'!$C$20-1,'الافتراضات'!$C$92,0)+IF(C7='الافتراضات'!$C$21-1,'الافتراضات'!$C$92,0)+C48*'الافتراضات'!$C$92</f>
        <v/>
      </c>
      <c r="D112" s="45">
        <f>IF(D7=0,'الافتراضات'!$C$91+'الافتراضات'!$C$93,0)+IF(D7='الافتراضات'!$C$20-1,'الافتراضات'!$C$92,0)+IF(D7='الافتراضات'!$C$21-1,'الافتراضات'!$C$92,0)+D48*'الافتراضات'!$C$92</f>
        <v/>
      </c>
      <c r="E112" s="45">
        <f>IF(E7=0,'الافتراضات'!$C$91+'الافتراضات'!$C$93,0)+IF(E7='الافتراضات'!$C$20-1,'الافتراضات'!$C$92,0)+IF(E7='الافتراضات'!$C$21-1,'الافتراضات'!$C$92,0)+E48*'الافتراضات'!$C$92</f>
        <v/>
      </c>
      <c r="F112" s="45">
        <f>IF(F7=0,'الافتراضات'!$C$91+'الافتراضات'!$C$93,0)+IF(F7='الافتراضات'!$C$20-1,'الافتراضات'!$C$92,0)+IF(F7='الافتراضات'!$C$21-1,'الافتراضات'!$C$92,0)+F48*'الافتراضات'!$C$92</f>
        <v/>
      </c>
      <c r="G112" s="45">
        <f>IF(G7=0,'الافتراضات'!$C$91+'الافتراضات'!$C$93,0)+IF(G7='الافتراضات'!$C$20-1,'الافتراضات'!$C$92,0)+IF(G7='الافتراضات'!$C$21-1,'الافتراضات'!$C$92,0)+G48*'الافتراضات'!$C$92</f>
        <v/>
      </c>
      <c r="H112" s="45">
        <f>IF(H7=0,'الافتراضات'!$C$91+'الافتراضات'!$C$93,0)+IF(H7='الافتراضات'!$C$20-1,'الافتراضات'!$C$92,0)+IF(H7='الافتراضات'!$C$21-1,'الافتراضات'!$C$92,0)+H48*'الافتراضات'!$C$92</f>
        <v/>
      </c>
      <c r="I112" s="45">
        <f>IF(I7=0,'الافتراضات'!$C$91+'الافتراضات'!$C$93,0)+IF(I7='الافتراضات'!$C$20-1,'الافتراضات'!$C$92,0)+IF(I7='الافتراضات'!$C$21-1,'الافتراضات'!$C$92,0)+I48*'الافتراضات'!$C$92</f>
        <v/>
      </c>
      <c r="J112" s="45">
        <f>IF(J7=0,'الافتراضات'!$C$91+'الافتراضات'!$C$93,0)+IF(J7='الافتراضات'!$C$20-1,'الافتراضات'!$C$92,0)+IF(J7='الافتراضات'!$C$21-1,'الافتراضات'!$C$92,0)+J48*'الافتراضات'!$C$92</f>
        <v/>
      </c>
      <c r="K112" s="45">
        <f>IF(K7=0,'الافتراضات'!$C$91+'الافتراضات'!$C$93,0)+IF(K7='الافتراضات'!$C$20-1,'الافتراضات'!$C$92,0)+IF(K7='الافتراضات'!$C$21-1,'الافتراضات'!$C$92,0)+K48*'الافتراضات'!$C$92</f>
        <v/>
      </c>
      <c r="L112" s="45">
        <f>IF(L7=0,'الافتراضات'!$C$91+'الافتراضات'!$C$93,0)+IF(L7='الافتراضات'!$C$20-1,'الافتراضات'!$C$92,0)+IF(L7='الافتراضات'!$C$21-1,'الافتراضات'!$C$92,0)+L48*'الافتراضات'!$C$92</f>
        <v/>
      </c>
      <c r="M112" s="45">
        <f>IF(M7=0,'الافتراضات'!$C$91+'الافتراضات'!$C$93,0)+IF(M7='الافتراضات'!$C$20-1,'الافتراضات'!$C$92,0)+IF(M7='الافتراضات'!$C$21-1,'الافتراضات'!$C$92,0)+M48*'الافتراضات'!$C$92</f>
        <v/>
      </c>
      <c r="N112" s="45">
        <f>IF(N7=0,'الافتراضات'!$C$91+'الافتراضات'!$C$93,0)+IF(N7='الافتراضات'!$C$20-1,'الافتراضات'!$C$92,0)+IF(N7='الافتراضات'!$C$21-1,'الافتراضات'!$C$92,0)+N48*'الافتراضات'!$C$92</f>
        <v/>
      </c>
      <c r="O112" s="45">
        <f>IF(O7=0,'الافتراضات'!$C$91+'الافتراضات'!$C$93,0)+IF(O7='الافتراضات'!$C$20-1,'الافتراضات'!$C$92,0)+IF(O7='الافتراضات'!$C$21-1,'الافتراضات'!$C$92,0)+O48*'الافتراضات'!$C$92</f>
        <v/>
      </c>
      <c r="P112" s="45">
        <f>IF(P7=0,'الافتراضات'!$C$91+'الافتراضات'!$C$93,0)+IF(P7='الافتراضات'!$C$20-1,'الافتراضات'!$C$92,0)+IF(P7='الافتراضات'!$C$21-1,'الافتراضات'!$C$92,0)+P48*'الافتراضات'!$C$92</f>
        <v/>
      </c>
      <c r="Q112" s="45">
        <f>IF(Q7=0,'الافتراضات'!$C$91+'الافتراضات'!$C$93,0)+IF(Q7='الافتراضات'!$C$20-1,'الافتراضات'!$C$92,0)+IF(Q7='الافتراضات'!$C$21-1,'الافتراضات'!$C$92,0)+Q48*'الافتراضات'!$C$92</f>
        <v/>
      </c>
      <c r="R112" s="45">
        <f>IF(R7=0,'الافتراضات'!$C$91+'الافتراضات'!$C$93,0)+IF(R7='الافتراضات'!$C$20-1,'الافتراضات'!$C$92,0)+IF(R7='الافتراضات'!$C$21-1,'الافتراضات'!$C$92,0)+R48*'الافتراضات'!$C$92</f>
        <v/>
      </c>
      <c r="S112" s="45">
        <f>IF(S7=0,'الافتراضات'!$C$91+'الافتراضات'!$C$93,0)+IF(S7='الافتراضات'!$C$20-1,'الافتراضات'!$C$92,0)+IF(S7='الافتراضات'!$C$21-1,'الافتراضات'!$C$92,0)+S48*'الافتراضات'!$C$92</f>
        <v/>
      </c>
      <c r="T112" s="45">
        <f>IF(T7=0,'الافتراضات'!$C$91+'الافتراضات'!$C$93,0)+IF(T7='الافتراضات'!$C$20-1,'الافتراضات'!$C$92,0)+IF(T7='الافتراضات'!$C$21-1,'الافتراضات'!$C$92,0)+T48*'الافتراضات'!$C$92</f>
        <v/>
      </c>
      <c r="U112" s="45">
        <f>IF(U7=0,'الافتراضات'!$C$91+'الافتراضات'!$C$93,0)+IF(U7='الافتراضات'!$C$20-1,'الافتراضات'!$C$92,0)+IF(U7='الافتراضات'!$C$21-1,'الافتراضات'!$C$92,0)+U48*'الافتراضات'!$C$92</f>
        <v/>
      </c>
      <c r="V112" s="45">
        <f>IF(V7=0,'الافتراضات'!$C$91+'الافتراضات'!$C$93,0)+IF(V7='الافتراضات'!$C$20-1,'الافتراضات'!$C$92,0)+IF(V7='الافتراضات'!$C$21-1,'الافتراضات'!$C$92,0)+V48*'الافتراضات'!$C$92</f>
        <v/>
      </c>
      <c r="W112" s="45">
        <f>IF(W7=0,'الافتراضات'!$C$91+'الافتراضات'!$C$93,0)+IF(W7='الافتراضات'!$C$20-1,'الافتراضات'!$C$92,0)+IF(W7='الافتراضات'!$C$21-1,'الافتراضات'!$C$92,0)+W48*'الافتراضات'!$C$92</f>
        <v/>
      </c>
      <c r="X112" s="45">
        <f>IF(X7=0,'الافتراضات'!$C$91+'الافتراضات'!$C$93,0)+IF(X7='الافتراضات'!$C$20-1,'الافتراضات'!$C$92,0)+IF(X7='الافتراضات'!$C$21-1,'الافتراضات'!$C$92,0)+X48*'الافتراضات'!$C$92</f>
        <v/>
      </c>
      <c r="Y112" s="45">
        <f>IF(Y7=0,'الافتراضات'!$C$91+'الافتراضات'!$C$93,0)+IF(Y7='الافتراضات'!$C$20-1,'الافتراضات'!$C$92,0)+IF(Y7='الافتراضات'!$C$21-1,'الافتراضات'!$C$92,0)+Y48*'الافتراضات'!$C$92</f>
        <v/>
      </c>
      <c r="Z112" s="45">
        <f>IF(Z7=0,'الافتراضات'!$C$91+'الافتراضات'!$C$93,0)+IF(Z7='الافتراضات'!$C$20-1,'الافتراضات'!$C$92,0)+IF(Z7='الافتراضات'!$C$21-1,'الافتراضات'!$C$92,0)+Z48*'الافتراضات'!$C$92</f>
        <v/>
      </c>
      <c r="AA112" s="45">
        <f>IF(AA7=0,'الافتراضات'!$C$91+'الافتراضات'!$C$93,0)+IF(AA7='الافتراضات'!$C$20-1,'الافتراضات'!$C$92,0)+IF(AA7='الافتراضات'!$C$21-1,'الافتراضات'!$C$92,0)+AA48*'الافتراضات'!$C$92</f>
        <v/>
      </c>
      <c r="AB112" s="45">
        <f>IF(AB7=0,'الافتراضات'!$C$91+'الافتراضات'!$C$93,0)+IF(AB7='الافتراضات'!$C$20-1,'الافتراضات'!$C$92,0)+IF(AB7='الافتراضات'!$C$21-1,'الافتراضات'!$C$92,0)+AB48*'الافتراضات'!$C$92</f>
        <v/>
      </c>
      <c r="AC112" s="45">
        <f>IF(AC7=0,'الافتراضات'!$C$91+'الافتراضات'!$C$93,0)+IF(AC7='الافتراضات'!$C$20-1,'الافتراضات'!$C$92,0)+IF(AC7='الافتراضات'!$C$21-1,'الافتراضات'!$C$92,0)+AC48*'الافتراضات'!$C$92</f>
        <v/>
      </c>
      <c r="AD112" s="45">
        <f>IF(AD7=0,'الافتراضات'!$C$91+'الافتراضات'!$C$93,0)+IF(AD7='الافتراضات'!$C$20-1,'الافتراضات'!$C$92,0)+IF(AD7='الافتراضات'!$C$21-1,'الافتراضات'!$C$92,0)+AD48*'الافتراضات'!$C$92</f>
        <v/>
      </c>
      <c r="AE112" s="45">
        <f>IF(AE7=0,'الافتراضات'!$C$91+'الافتراضات'!$C$93,0)+IF(AE7='الافتراضات'!$C$20-1,'الافتراضات'!$C$92,0)+IF(AE7='الافتراضات'!$C$21-1,'الافتراضات'!$C$92,0)+AE48*'الافتراضات'!$C$92</f>
        <v/>
      </c>
      <c r="AF112" s="45">
        <f>IF(AF7=0,'الافتراضات'!$C$91+'الافتراضات'!$C$93,0)+IF(AF7='الافتراضات'!$C$20-1,'الافتراضات'!$C$92,0)+IF(AF7='الافتراضات'!$C$21-1,'الافتراضات'!$C$92,0)+AF48*'الافتراضات'!$C$92</f>
        <v/>
      </c>
      <c r="AG112" s="45">
        <f>IF(AG7=0,'الافتراضات'!$C$91+'الافتراضات'!$C$93,0)+IF(AG7='الافتراضات'!$C$20-1,'الافتراضات'!$C$92,0)+IF(AG7='الافتراضات'!$C$21-1,'الافتراضات'!$C$92,0)+AG48*'الافتراضات'!$C$92</f>
        <v/>
      </c>
      <c r="AH112" s="45">
        <f>IF(AH7=0,'الافتراضات'!$C$91+'الافتراضات'!$C$93,0)+IF(AH7='الافتراضات'!$C$20-1,'الافتراضات'!$C$92,0)+IF(AH7='الافتراضات'!$C$21-1,'الافتراضات'!$C$92,0)+AH48*'الافتراضات'!$C$92</f>
        <v/>
      </c>
      <c r="AI112" s="45">
        <f>IF(AI7=0,'الافتراضات'!$C$91+'الافتراضات'!$C$93,0)+IF(AI7='الافتراضات'!$C$20-1,'الافتراضات'!$C$92,0)+IF(AI7='الافتراضات'!$C$21-1,'الافتراضات'!$C$92,0)+AI48*'الافتراضات'!$C$92</f>
        <v/>
      </c>
      <c r="AJ112" s="45">
        <f>IF(AJ7=0,'الافتراضات'!$C$91+'الافتراضات'!$C$93,0)+IF(AJ7='الافتراضات'!$C$20-1,'الافتراضات'!$C$92,0)+IF(AJ7='الافتراضات'!$C$21-1,'الافتراضات'!$C$92,0)+AJ48*'الافتراضات'!$C$92</f>
        <v/>
      </c>
      <c r="AK112" s="45">
        <f>IF(AK7=0,'الافتراضات'!$C$91+'الافتراضات'!$C$93,0)+IF(AK7='الافتراضات'!$C$20-1,'الافتراضات'!$C$92,0)+IF(AK7='الافتراضات'!$C$21-1,'الافتراضات'!$C$92,0)+AK48*'الافتراضات'!$C$92</f>
        <v/>
      </c>
      <c r="AL112" s="45">
        <f>IF(AL7=0,'الافتراضات'!$C$91+'الافتراضات'!$C$93,0)+IF(AL7='الافتراضات'!$C$20-1,'الافتراضات'!$C$92,0)+IF(AL7='الافتراضات'!$C$21-1,'الافتراضات'!$C$92,0)+AL48*'الافتراضات'!$C$92</f>
        <v/>
      </c>
      <c r="AM112" s="45">
        <f>IF(AM7=0,'الافتراضات'!$C$91+'الافتراضات'!$C$93,0)+IF(AM7='الافتراضات'!$C$20-1,'الافتراضات'!$C$92,0)+IF(AM7='الافتراضات'!$C$21-1,'الافتراضات'!$C$92,0)+AM48*'الافتراضات'!$C$92</f>
        <v/>
      </c>
      <c r="AN112" s="45">
        <f>IF(AN7=0,'الافتراضات'!$C$91+'الافتراضات'!$C$93,0)+IF(AN7='الافتراضات'!$C$20-1,'الافتراضات'!$C$92,0)+IF(AN7='الافتراضات'!$C$21-1,'الافتراضات'!$C$92,0)+AN48*'الافتراضات'!$C$92</f>
        <v/>
      </c>
      <c r="AO112" s="45">
        <f>IF(AO7=0,'الافتراضات'!$C$91+'الافتراضات'!$C$93,0)+IF(AO7='الافتراضات'!$C$20-1,'الافتراضات'!$C$92,0)+IF(AO7='الافتراضات'!$C$21-1,'الافتراضات'!$C$92,0)+AO48*'الافتراضات'!$C$92</f>
        <v/>
      </c>
      <c r="AP112" s="45">
        <f>IF(AP7=0,'الافتراضات'!$C$91+'الافتراضات'!$C$93,0)+IF(AP7='الافتراضات'!$C$20-1,'الافتراضات'!$C$92,0)+IF(AP7='الافتراضات'!$C$21-1,'الافتراضات'!$C$92,0)+AP48*'الافتراضات'!$C$92</f>
        <v/>
      </c>
      <c r="AQ112" s="45">
        <f>IF(AQ7=0,'الافتراضات'!$C$91+'الافتراضات'!$C$93,0)+IF(AQ7='الافتراضات'!$C$20-1,'الافتراضات'!$C$92,0)+IF(AQ7='الافتراضات'!$C$21-1,'الافتراضات'!$C$92,0)+AQ48*'الافتراضات'!$C$92</f>
        <v/>
      </c>
      <c r="AR112" s="45">
        <f>IF(AR7=0,'الافتراضات'!$C$91+'الافتراضات'!$C$93,0)+IF(AR7='الافتراضات'!$C$20-1,'الافتراضات'!$C$92,0)+IF(AR7='الافتراضات'!$C$21-1,'الافتراضات'!$C$92,0)+AR48*'الافتراضات'!$C$92</f>
        <v/>
      </c>
      <c r="AS112" s="45">
        <f>IF(AS7=0,'الافتراضات'!$C$91+'الافتراضات'!$C$93,0)+IF(AS7='الافتراضات'!$C$20-1,'الافتراضات'!$C$92,0)+IF(AS7='الافتراضات'!$C$21-1,'الافتراضات'!$C$92,0)+AS48*'الافتراضات'!$C$92</f>
        <v/>
      </c>
      <c r="AT112" s="45">
        <f>IF(AT7=0,'الافتراضات'!$C$91+'الافتراضات'!$C$93,0)+IF(AT7='الافتراضات'!$C$20-1,'الافتراضات'!$C$92,0)+IF(AT7='الافتراضات'!$C$21-1,'الافتراضات'!$C$92,0)+AT48*'الافتراضات'!$C$92</f>
        <v/>
      </c>
      <c r="AU112" s="45">
        <f>IF(AU7=0,'الافتراضات'!$C$91+'الافتراضات'!$C$93,0)+IF(AU7='الافتراضات'!$C$20-1,'الافتراضات'!$C$92,0)+IF(AU7='الافتراضات'!$C$21-1,'الافتراضات'!$C$92,0)+AU48*'الافتراضات'!$C$92</f>
        <v/>
      </c>
      <c r="AV112" s="45">
        <f>IF(AV7=0,'الافتراضات'!$C$91+'الافتراضات'!$C$93,0)+IF(AV7='الافتراضات'!$C$20-1,'الافتراضات'!$C$92,0)+IF(AV7='الافتراضات'!$C$21-1,'الافتراضات'!$C$92,0)+AV48*'الافتراضات'!$C$92</f>
        <v/>
      </c>
      <c r="AW112" s="45">
        <f>IF(AW7=0,'الافتراضات'!$C$91+'الافتراضات'!$C$93,0)+IF(AW7='الافتراضات'!$C$20-1,'الافتراضات'!$C$92,0)+IF(AW7='الافتراضات'!$C$21-1,'الافتراضات'!$C$92,0)+AW48*'الافتراضات'!$C$92</f>
        <v/>
      </c>
      <c r="AX112" s="45">
        <f>IF(AX7=0,'الافتراضات'!$C$91+'الافتراضات'!$C$93,0)+IF(AX7='الافتراضات'!$C$20-1,'الافتراضات'!$C$92,0)+IF(AX7='الافتراضات'!$C$21-1,'الافتراضات'!$C$92,0)+AX48*'الافتراضات'!$C$92</f>
        <v/>
      </c>
      <c r="AY112" s="45">
        <f>IF(AY7=0,'الافتراضات'!$C$91+'الافتراضات'!$C$93,0)+IF(AY7='الافتراضات'!$C$20-1,'الافتراضات'!$C$92,0)+IF(AY7='الافتراضات'!$C$21-1,'الافتراضات'!$C$92,0)+AY48*'الافتراضات'!$C$92</f>
        <v/>
      </c>
      <c r="AZ112" s="45">
        <f>IF(AZ7=0,'الافتراضات'!$C$91+'الافتراضات'!$C$93,0)+IF(AZ7='الافتراضات'!$C$20-1,'الافتراضات'!$C$92,0)+IF(AZ7='الافتراضات'!$C$21-1,'الافتراضات'!$C$92,0)+AZ48*'الافتراضات'!$C$92</f>
        <v/>
      </c>
      <c r="BA112" s="45">
        <f>IF(BA7=0,'الافتراضات'!$C$91+'الافتراضات'!$C$93,0)+IF(BA7='الافتراضات'!$C$20-1,'الافتراضات'!$C$92,0)+IF(BA7='الافتراضات'!$C$21-1,'الافتراضات'!$C$92,0)+BA48*'الافتراضات'!$C$92</f>
        <v/>
      </c>
      <c r="BB112" s="45">
        <f>IF(BB7=0,'الافتراضات'!$C$91+'الافتراضات'!$C$93,0)+IF(BB7='الافتراضات'!$C$20-1,'الافتراضات'!$C$92,0)+IF(BB7='الافتراضات'!$C$21-1,'الافتراضات'!$C$92,0)+BB48*'الافتراضات'!$C$92</f>
        <v/>
      </c>
      <c r="BC112" s="45">
        <f>IF(BC7=0,'الافتراضات'!$C$91+'الافتراضات'!$C$93,0)+IF(BC7='الافتراضات'!$C$20-1,'الافتراضات'!$C$92,0)+IF(BC7='الافتراضات'!$C$21-1,'الافتراضات'!$C$92,0)+BC48*'الافتراضات'!$C$92</f>
        <v/>
      </c>
      <c r="BD112" s="45">
        <f>IF(BD7=0,'الافتراضات'!$C$91+'الافتراضات'!$C$93,0)+IF(BD7='الافتراضات'!$C$20-1,'الافتراضات'!$C$92,0)+IF(BD7='الافتراضات'!$C$21-1,'الافتراضات'!$C$92,0)+BD48*'الافتراضات'!$C$92</f>
        <v/>
      </c>
      <c r="BE112" s="45">
        <f>IF(BE7=0,'الافتراضات'!$C$91+'الافتراضات'!$C$93,0)+IF(BE7='الافتراضات'!$C$20-1,'الافتراضات'!$C$92,0)+IF(BE7='الافتراضات'!$C$21-1,'الافتراضات'!$C$92,0)+BE48*'الافتراضات'!$C$92</f>
        <v/>
      </c>
      <c r="BF112" s="45">
        <f>IF(BF7=0,'الافتراضات'!$C$91+'الافتراضات'!$C$93,0)+IF(BF7='الافتراضات'!$C$20-1,'الافتراضات'!$C$92,0)+IF(BF7='الافتراضات'!$C$21-1,'الافتراضات'!$C$92,0)+BF48*'الافتراضات'!$C$92</f>
        <v/>
      </c>
      <c r="BG112" s="45">
        <f>IF(BG7=0,'الافتراضات'!$C$91+'الافتراضات'!$C$93,0)+IF(BG7='الافتراضات'!$C$20-1,'الافتراضات'!$C$92,0)+IF(BG7='الافتراضات'!$C$21-1,'الافتراضات'!$C$92,0)+BG48*'الافتراضات'!$C$92</f>
        <v/>
      </c>
      <c r="BH112" s="45">
        <f>IF(BH7=0,'الافتراضات'!$C$91+'الافتراضات'!$C$93,0)+IF(BH7='الافتراضات'!$C$20-1,'الافتراضات'!$C$92,0)+IF(BH7='الافتراضات'!$C$21-1,'الافتراضات'!$C$92,0)+BH48*'الافتراضات'!$C$92</f>
        <v/>
      </c>
      <c r="BI112" s="45">
        <f>IF(BI7=0,'الافتراضات'!$C$91+'الافتراضات'!$C$93,0)+IF(BI7='الافتراضات'!$C$20-1,'الافتراضات'!$C$92,0)+IF(BI7='الافتراضات'!$C$21-1,'الافتراضات'!$C$92,0)+BI48*'الافتراضات'!$C$92</f>
        <v/>
      </c>
      <c r="BJ112" s="45">
        <f>IF(BJ7=0,'الافتراضات'!$C$91+'الافتراضات'!$C$93,0)+IF(BJ7='الافتراضات'!$C$20-1,'الافتراضات'!$C$92,0)+IF(BJ7='الافتراضات'!$C$21-1,'الافتراضات'!$C$92,0)+BJ48*'الافتراضات'!$C$92</f>
        <v/>
      </c>
      <c r="BK112" s="45">
        <f>IF(BK7=0,'الافتراضات'!$C$91+'الافتراضات'!$C$93,0)+IF(BK7='الافتراضات'!$C$20-1,'الافتراضات'!$C$92,0)+IF(BK7='الافتراضات'!$C$21-1,'الافتراضات'!$C$92,0)+BK48*'الافتراضات'!$C$92</f>
        <v/>
      </c>
      <c r="BL112" s="45">
        <f>IF(BL7=0,'الافتراضات'!$C$91+'الافتراضات'!$C$93,0)+IF(BL7='الافتراضات'!$C$20-1,'الافتراضات'!$C$92,0)+IF(BL7='الافتراضات'!$C$21-1,'الافتراضات'!$C$92,0)+BL48*'الافتراضات'!$C$92</f>
        <v/>
      </c>
      <c r="BM112" s="45">
        <f>IF(BM7=0,'الافتراضات'!$C$91+'الافتراضات'!$C$93,0)+IF(BM7='الافتراضات'!$C$20-1,'الافتراضات'!$C$92,0)+IF(BM7='الافتراضات'!$C$21-1,'الافتراضات'!$C$92,0)+BM48*'الافتراضات'!$C$92</f>
        <v/>
      </c>
    </row>
    <row r="113">
      <c r="A113" s="15" t="inlineStr">
        <is>
          <t>إجمالي الإنفاق الرأسمالي</t>
        </is>
      </c>
      <c r="B113" s="22" t="inlineStr">
        <is>
          <t>ج.م</t>
        </is>
      </c>
      <c r="C113" s="45">
        <f>C111+C112</f>
        <v/>
      </c>
      <c r="D113" s="45">
        <f>D111+D112</f>
        <v/>
      </c>
      <c r="E113" s="45">
        <f>E111+E112</f>
        <v/>
      </c>
      <c r="F113" s="45">
        <f>F111+F112</f>
        <v/>
      </c>
      <c r="G113" s="45">
        <f>G111+G112</f>
        <v/>
      </c>
      <c r="H113" s="45">
        <f>H111+H112</f>
        <v/>
      </c>
      <c r="I113" s="45">
        <f>I111+I112</f>
        <v/>
      </c>
      <c r="J113" s="45">
        <f>J111+J112</f>
        <v/>
      </c>
      <c r="K113" s="45">
        <f>K111+K112</f>
        <v/>
      </c>
      <c r="L113" s="45">
        <f>L111+L112</f>
        <v/>
      </c>
      <c r="M113" s="45">
        <f>M111+M112</f>
        <v/>
      </c>
      <c r="N113" s="45">
        <f>N111+N112</f>
        <v/>
      </c>
      <c r="O113" s="45">
        <f>O111+O112</f>
        <v/>
      </c>
      <c r="P113" s="45">
        <f>P111+P112</f>
        <v/>
      </c>
      <c r="Q113" s="45">
        <f>Q111+Q112</f>
        <v/>
      </c>
      <c r="R113" s="45">
        <f>R111+R112</f>
        <v/>
      </c>
      <c r="S113" s="45">
        <f>S111+S112</f>
        <v/>
      </c>
      <c r="T113" s="45">
        <f>T111+T112</f>
        <v/>
      </c>
      <c r="U113" s="45">
        <f>U111+U112</f>
        <v/>
      </c>
      <c r="V113" s="45">
        <f>V111+V112</f>
        <v/>
      </c>
      <c r="W113" s="45">
        <f>W111+W112</f>
        <v/>
      </c>
      <c r="X113" s="45">
        <f>X111+X112</f>
        <v/>
      </c>
      <c r="Y113" s="45">
        <f>Y111+Y112</f>
        <v/>
      </c>
      <c r="Z113" s="45">
        <f>Z111+Z112</f>
        <v/>
      </c>
      <c r="AA113" s="45">
        <f>AA111+AA112</f>
        <v/>
      </c>
      <c r="AB113" s="45">
        <f>AB111+AB112</f>
        <v/>
      </c>
      <c r="AC113" s="45">
        <f>AC111+AC112</f>
        <v/>
      </c>
      <c r="AD113" s="45">
        <f>AD111+AD112</f>
        <v/>
      </c>
      <c r="AE113" s="45">
        <f>AE111+AE112</f>
        <v/>
      </c>
      <c r="AF113" s="45">
        <f>AF111+AF112</f>
        <v/>
      </c>
      <c r="AG113" s="45">
        <f>AG111+AG112</f>
        <v/>
      </c>
      <c r="AH113" s="45">
        <f>AH111+AH112</f>
        <v/>
      </c>
      <c r="AI113" s="45">
        <f>AI111+AI112</f>
        <v/>
      </c>
      <c r="AJ113" s="45">
        <f>AJ111+AJ112</f>
        <v/>
      </c>
      <c r="AK113" s="45">
        <f>AK111+AK112</f>
        <v/>
      </c>
      <c r="AL113" s="45">
        <f>AL111+AL112</f>
        <v/>
      </c>
      <c r="AM113" s="45">
        <f>AM111+AM112</f>
        <v/>
      </c>
      <c r="AN113" s="45">
        <f>AN111+AN112</f>
        <v/>
      </c>
      <c r="AO113" s="45">
        <f>AO111+AO112</f>
        <v/>
      </c>
      <c r="AP113" s="45">
        <f>AP111+AP112</f>
        <v/>
      </c>
      <c r="AQ113" s="45">
        <f>AQ111+AQ112</f>
        <v/>
      </c>
      <c r="AR113" s="45">
        <f>AR111+AR112</f>
        <v/>
      </c>
      <c r="AS113" s="45">
        <f>AS111+AS112</f>
        <v/>
      </c>
      <c r="AT113" s="45">
        <f>AT111+AT112</f>
        <v/>
      </c>
      <c r="AU113" s="45">
        <f>AU111+AU112</f>
        <v/>
      </c>
      <c r="AV113" s="45">
        <f>AV111+AV112</f>
        <v/>
      </c>
      <c r="AW113" s="45">
        <f>AW111+AW112</f>
        <v/>
      </c>
      <c r="AX113" s="45">
        <f>AX111+AX112</f>
        <v/>
      </c>
      <c r="AY113" s="45">
        <f>AY111+AY112</f>
        <v/>
      </c>
      <c r="AZ113" s="45">
        <f>AZ111+AZ112</f>
        <v/>
      </c>
      <c r="BA113" s="45">
        <f>BA111+BA112</f>
        <v/>
      </c>
      <c r="BB113" s="45">
        <f>BB111+BB112</f>
        <v/>
      </c>
      <c r="BC113" s="45">
        <f>BC111+BC112</f>
        <v/>
      </c>
      <c r="BD113" s="45">
        <f>BD111+BD112</f>
        <v/>
      </c>
      <c r="BE113" s="45">
        <f>BE111+BE112</f>
        <v/>
      </c>
      <c r="BF113" s="45">
        <f>BF111+BF112</f>
        <v/>
      </c>
      <c r="BG113" s="45">
        <f>BG111+BG112</f>
        <v/>
      </c>
      <c r="BH113" s="45">
        <f>BH111+BH112</f>
        <v/>
      </c>
      <c r="BI113" s="45">
        <f>BI111+BI112</f>
        <v/>
      </c>
      <c r="BJ113" s="45">
        <f>BJ111+BJ112</f>
        <v/>
      </c>
      <c r="BK113" s="45">
        <f>BK111+BK112</f>
        <v/>
      </c>
      <c r="BL113" s="45">
        <f>BL111+BL112</f>
        <v/>
      </c>
      <c r="BM113" s="45">
        <f>BM111+BM112</f>
        <v/>
      </c>
    </row>
    <row r="114">
      <c r="A114" s="4" t="inlineStr">
        <is>
          <t>الإنفاق الرأسمالي التراكمي للتقنية</t>
        </is>
      </c>
      <c r="B114" s="22" t="inlineStr">
        <is>
          <t>ج.م</t>
        </is>
      </c>
      <c r="C114" s="45">
        <f>C111</f>
        <v/>
      </c>
      <c r="D114" s="45">
        <f>C114+D111</f>
        <v/>
      </c>
      <c r="E114" s="45">
        <f>D114+E111</f>
        <v/>
      </c>
      <c r="F114" s="45">
        <f>E114+F111</f>
        <v/>
      </c>
      <c r="G114" s="45">
        <f>F114+G111</f>
        <v/>
      </c>
      <c r="H114" s="45">
        <f>G114+H111</f>
        <v/>
      </c>
      <c r="I114" s="45">
        <f>H114+I111</f>
        <v/>
      </c>
      <c r="J114" s="45">
        <f>I114+J111</f>
        <v/>
      </c>
      <c r="K114" s="45">
        <f>J114+K111</f>
        <v/>
      </c>
      <c r="L114" s="45">
        <f>K114+L111</f>
        <v/>
      </c>
      <c r="M114" s="45">
        <f>L114+M111</f>
        <v/>
      </c>
      <c r="N114" s="45">
        <f>M114+N111</f>
        <v/>
      </c>
      <c r="O114" s="45">
        <f>N114+O111</f>
        <v/>
      </c>
      <c r="P114" s="45">
        <f>O114+P111</f>
        <v/>
      </c>
      <c r="Q114" s="45">
        <f>P114+Q111</f>
        <v/>
      </c>
      <c r="R114" s="45">
        <f>Q114+R111</f>
        <v/>
      </c>
      <c r="S114" s="45">
        <f>R114+S111</f>
        <v/>
      </c>
      <c r="T114" s="45">
        <f>S114+T111</f>
        <v/>
      </c>
      <c r="U114" s="45">
        <f>T114+U111</f>
        <v/>
      </c>
      <c r="V114" s="45">
        <f>U114+V111</f>
        <v/>
      </c>
      <c r="W114" s="45">
        <f>V114+W111</f>
        <v/>
      </c>
      <c r="X114" s="45">
        <f>W114+X111</f>
        <v/>
      </c>
      <c r="Y114" s="45">
        <f>X114+Y111</f>
        <v/>
      </c>
      <c r="Z114" s="45">
        <f>Y114+Z111</f>
        <v/>
      </c>
      <c r="AA114" s="45">
        <f>Z114+AA111</f>
        <v/>
      </c>
      <c r="AB114" s="45">
        <f>AA114+AB111</f>
        <v/>
      </c>
      <c r="AC114" s="45">
        <f>AB114+AC111</f>
        <v/>
      </c>
      <c r="AD114" s="45">
        <f>AC114+AD111</f>
        <v/>
      </c>
      <c r="AE114" s="45">
        <f>AD114+AE111</f>
        <v/>
      </c>
      <c r="AF114" s="45">
        <f>AE114+AF111</f>
        <v/>
      </c>
      <c r="AG114" s="45">
        <f>AF114+AG111</f>
        <v/>
      </c>
      <c r="AH114" s="45">
        <f>AG114+AH111</f>
        <v/>
      </c>
      <c r="AI114" s="45">
        <f>AH114+AI111</f>
        <v/>
      </c>
      <c r="AJ114" s="45">
        <f>AI114+AJ111</f>
        <v/>
      </c>
      <c r="AK114" s="45">
        <f>AJ114+AK111</f>
        <v/>
      </c>
      <c r="AL114" s="45">
        <f>AK114+AL111</f>
        <v/>
      </c>
      <c r="AM114" s="45">
        <f>AL114+AM111</f>
        <v/>
      </c>
      <c r="AN114" s="45">
        <f>AM114+AN111</f>
        <v/>
      </c>
      <c r="AO114" s="45">
        <f>AN114+AO111</f>
        <v/>
      </c>
      <c r="AP114" s="45">
        <f>AO114+AP111</f>
        <v/>
      </c>
      <c r="AQ114" s="45">
        <f>AP114+AQ111</f>
        <v/>
      </c>
      <c r="AR114" s="45">
        <f>AQ114+AR111</f>
        <v/>
      </c>
      <c r="AS114" s="45">
        <f>AR114+AS111</f>
        <v/>
      </c>
      <c r="AT114" s="45">
        <f>AS114+AT111</f>
        <v/>
      </c>
      <c r="AU114" s="45">
        <f>AT114+AU111</f>
        <v/>
      </c>
      <c r="AV114" s="45">
        <f>AU114+AV111</f>
        <v/>
      </c>
      <c r="AW114" s="45">
        <f>AV114+AW111</f>
        <v/>
      </c>
      <c r="AX114" s="45">
        <f>AW114+AX111</f>
        <v/>
      </c>
      <c r="AY114" s="45">
        <f>AX114+AY111</f>
        <v/>
      </c>
      <c r="AZ114" s="45">
        <f>AY114+AZ111</f>
        <v/>
      </c>
      <c r="BA114" s="45">
        <f>AZ114+BA111</f>
        <v/>
      </c>
      <c r="BB114" s="45">
        <f>BA114+BB111</f>
        <v/>
      </c>
      <c r="BC114" s="45">
        <f>BB114+BC111</f>
        <v/>
      </c>
      <c r="BD114" s="45">
        <f>BC114+BD111</f>
        <v/>
      </c>
      <c r="BE114" s="45">
        <f>BD114+BE111</f>
        <v/>
      </c>
      <c r="BF114" s="45">
        <f>BE114+BF111</f>
        <v/>
      </c>
      <c r="BG114" s="45">
        <f>BF114+BG111</f>
        <v/>
      </c>
      <c r="BH114" s="45">
        <f>BG114+BH111</f>
        <v/>
      </c>
      <c r="BI114" s="45">
        <f>BH114+BI111</f>
        <v/>
      </c>
      <c r="BJ114" s="45">
        <f>BI114+BJ111</f>
        <v/>
      </c>
      <c r="BK114" s="45">
        <f>BJ114+BK111</f>
        <v/>
      </c>
      <c r="BL114" s="45">
        <f>BK114+BL111</f>
        <v/>
      </c>
      <c r="BM114" s="45">
        <f>BL114+BM111</f>
        <v/>
      </c>
    </row>
    <row r="115">
      <c r="A115" s="4" t="inlineStr">
        <is>
          <t>الإنفاق الرأسمالي التراكمي للهبات</t>
        </is>
      </c>
      <c r="B115" s="22" t="inlineStr">
        <is>
          <t>ج.م</t>
        </is>
      </c>
      <c r="C115" s="45">
        <f>C112</f>
        <v/>
      </c>
      <c r="D115" s="45">
        <f>C115+D112</f>
        <v/>
      </c>
      <c r="E115" s="45">
        <f>D115+E112</f>
        <v/>
      </c>
      <c r="F115" s="45">
        <f>E115+F112</f>
        <v/>
      </c>
      <c r="G115" s="45">
        <f>F115+G112</f>
        <v/>
      </c>
      <c r="H115" s="45">
        <f>G115+H112</f>
        <v/>
      </c>
      <c r="I115" s="45">
        <f>H115+I112</f>
        <v/>
      </c>
      <c r="J115" s="45">
        <f>I115+J112</f>
        <v/>
      </c>
      <c r="K115" s="45">
        <f>J115+K112</f>
        <v/>
      </c>
      <c r="L115" s="45">
        <f>K115+L112</f>
        <v/>
      </c>
      <c r="M115" s="45">
        <f>L115+M112</f>
        <v/>
      </c>
      <c r="N115" s="45">
        <f>M115+N112</f>
        <v/>
      </c>
      <c r="O115" s="45">
        <f>N115+O112</f>
        <v/>
      </c>
      <c r="P115" s="45">
        <f>O115+P112</f>
        <v/>
      </c>
      <c r="Q115" s="45">
        <f>P115+Q112</f>
        <v/>
      </c>
      <c r="R115" s="45">
        <f>Q115+R112</f>
        <v/>
      </c>
      <c r="S115" s="45">
        <f>R115+S112</f>
        <v/>
      </c>
      <c r="T115" s="45">
        <f>S115+T112</f>
        <v/>
      </c>
      <c r="U115" s="45">
        <f>T115+U112</f>
        <v/>
      </c>
      <c r="V115" s="45">
        <f>U115+V112</f>
        <v/>
      </c>
      <c r="W115" s="45">
        <f>V115+W112</f>
        <v/>
      </c>
      <c r="X115" s="45">
        <f>W115+X112</f>
        <v/>
      </c>
      <c r="Y115" s="45">
        <f>X115+Y112</f>
        <v/>
      </c>
      <c r="Z115" s="45">
        <f>Y115+Z112</f>
        <v/>
      </c>
      <c r="AA115" s="45">
        <f>Z115+AA112</f>
        <v/>
      </c>
      <c r="AB115" s="45">
        <f>AA115+AB112</f>
        <v/>
      </c>
      <c r="AC115" s="45">
        <f>AB115+AC112</f>
        <v/>
      </c>
      <c r="AD115" s="45">
        <f>AC115+AD112</f>
        <v/>
      </c>
      <c r="AE115" s="45">
        <f>AD115+AE112</f>
        <v/>
      </c>
      <c r="AF115" s="45">
        <f>AE115+AF112</f>
        <v/>
      </c>
      <c r="AG115" s="45">
        <f>AF115+AG112</f>
        <v/>
      </c>
      <c r="AH115" s="45">
        <f>AG115+AH112</f>
        <v/>
      </c>
      <c r="AI115" s="45">
        <f>AH115+AI112</f>
        <v/>
      </c>
      <c r="AJ115" s="45">
        <f>AI115+AJ112</f>
        <v/>
      </c>
      <c r="AK115" s="45">
        <f>AJ115+AK112</f>
        <v/>
      </c>
      <c r="AL115" s="45">
        <f>AK115+AL112</f>
        <v/>
      </c>
      <c r="AM115" s="45">
        <f>AL115+AM112</f>
        <v/>
      </c>
      <c r="AN115" s="45">
        <f>AM115+AN112</f>
        <v/>
      </c>
      <c r="AO115" s="45">
        <f>AN115+AO112</f>
        <v/>
      </c>
      <c r="AP115" s="45">
        <f>AO115+AP112</f>
        <v/>
      </c>
      <c r="AQ115" s="45">
        <f>AP115+AQ112</f>
        <v/>
      </c>
      <c r="AR115" s="45">
        <f>AQ115+AR112</f>
        <v/>
      </c>
      <c r="AS115" s="45">
        <f>AR115+AS112</f>
        <v/>
      </c>
      <c r="AT115" s="45">
        <f>AS115+AT112</f>
        <v/>
      </c>
      <c r="AU115" s="45">
        <f>AT115+AU112</f>
        <v/>
      </c>
      <c r="AV115" s="45">
        <f>AU115+AV112</f>
        <v/>
      </c>
      <c r="AW115" s="45">
        <f>AV115+AW112</f>
        <v/>
      </c>
      <c r="AX115" s="45">
        <f>AW115+AX112</f>
        <v/>
      </c>
      <c r="AY115" s="45">
        <f>AX115+AY112</f>
        <v/>
      </c>
      <c r="AZ115" s="45">
        <f>AY115+AZ112</f>
        <v/>
      </c>
      <c r="BA115" s="45">
        <f>AZ115+BA112</f>
        <v/>
      </c>
      <c r="BB115" s="45">
        <f>BA115+BB112</f>
        <v/>
      </c>
      <c r="BC115" s="45">
        <f>BB115+BC112</f>
        <v/>
      </c>
      <c r="BD115" s="45">
        <f>BC115+BD112</f>
        <v/>
      </c>
      <c r="BE115" s="45">
        <f>BD115+BE112</f>
        <v/>
      </c>
      <c r="BF115" s="45">
        <f>BE115+BF112</f>
        <v/>
      </c>
      <c r="BG115" s="45">
        <f>BF115+BG112</f>
        <v/>
      </c>
      <c r="BH115" s="45">
        <f>BG115+BH112</f>
        <v/>
      </c>
      <c r="BI115" s="45">
        <f>BH115+BI112</f>
        <v/>
      </c>
      <c r="BJ115" s="45">
        <f>BI115+BJ112</f>
        <v/>
      </c>
      <c r="BK115" s="45">
        <f>BJ115+BK112</f>
        <v/>
      </c>
      <c r="BL115" s="45">
        <f>BK115+BL112</f>
        <v/>
      </c>
      <c r="BM115" s="45">
        <f>BL115+BM112</f>
        <v/>
      </c>
    </row>
    <row r="116">
      <c r="A116" s="4" t="inlineStr">
        <is>
          <t>الإهلاك والاستهلاك</t>
        </is>
      </c>
      <c r="B116" s="22" t="inlineStr">
        <is>
          <t>ج.م</t>
        </is>
      </c>
      <c r="C116" s="45">
        <f>C8*(C114/'الافتراضات'!$C$94+C115/'الافتراضات'!$C$95)</f>
        <v/>
      </c>
      <c r="D116" s="45">
        <f>D8*(D114/'الافتراضات'!$C$94+D115/'الافتراضات'!$C$95)</f>
        <v/>
      </c>
      <c r="E116" s="45">
        <f>E8*(E114/'الافتراضات'!$C$94+E115/'الافتراضات'!$C$95)</f>
        <v/>
      </c>
      <c r="F116" s="45">
        <f>F8*(F114/'الافتراضات'!$C$94+F115/'الافتراضات'!$C$95)</f>
        <v/>
      </c>
      <c r="G116" s="45">
        <f>G8*(G114/'الافتراضات'!$C$94+G115/'الافتراضات'!$C$95)</f>
        <v/>
      </c>
      <c r="H116" s="45">
        <f>H8*(H114/'الافتراضات'!$C$94+H115/'الافتراضات'!$C$95)</f>
        <v/>
      </c>
      <c r="I116" s="45">
        <f>I8*(I114/'الافتراضات'!$C$94+I115/'الافتراضات'!$C$95)</f>
        <v/>
      </c>
      <c r="J116" s="45">
        <f>J8*(J114/'الافتراضات'!$C$94+J115/'الافتراضات'!$C$95)</f>
        <v/>
      </c>
      <c r="K116" s="45">
        <f>K8*(K114/'الافتراضات'!$C$94+K115/'الافتراضات'!$C$95)</f>
        <v/>
      </c>
      <c r="L116" s="45">
        <f>L8*(L114/'الافتراضات'!$C$94+L115/'الافتراضات'!$C$95)</f>
        <v/>
      </c>
      <c r="M116" s="45">
        <f>M8*(M114/'الافتراضات'!$C$94+M115/'الافتراضات'!$C$95)</f>
        <v/>
      </c>
      <c r="N116" s="45">
        <f>N8*(N114/'الافتراضات'!$C$94+N115/'الافتراضات'!$C$95)</f>
        <v/>
      </c>
      <c r="O116" s="45">
        <f>O8*(O114/'الافتراضات'!$C$94+O115/'الافتراضات'!$C$95)</f>
        <v/>
      </c>
      <c r="P116" s="45">
        <f>P8*(P114/'الافتراضات'!$C$94+P115/'الافتراضات'!$C$95)</f>
        <v/>
      </c>
      <c r="Q116" s="45">
        <f>Q8*(Q114/'الافتراضات'!$C$94+Q115/'الافتراضات'!$C$95)</f>
        <v/>
      </c>
      <c r="R116" s="45">
        <f>R8*(R114/'الافتراضات'!$C$94+R115/'الافتراضات'!$C$95)</f>
        <v/>
      </c>
      <c r="S116" s="45">
        <f>S8*(S114/'الافتراضات'!$C$94+S115/'الافتراضات'!$C$95)</f>
        <v/>
      </c>
      <c r="T116" s="45">
        <f>T8*(T114/'الافتراضات'!$C$94+T115/'الافتراضات'!$C$95)</f>
        <v/>
      </c>
      <c r="U116" s="45">
        <f>U8*(U114/'الافتراضات'!$C$94+U115/'الافتراضات'!$C$95)</f>
        <v/>
      </c>
      <c r="V116" s="45">
        <f>V8*(V114/'الافتراضات'!$C$94+V115/'الافتراضات'!$C$95)</f>
        <v/>
      </c>
      <c r="W116" s="45">
        <f>W8*(W114/'الافتراضات'!$C$94+W115/'الافتراضات'!$C$95)</f>
        <v/>
      </c>
      <c r="X116" s="45">
        <f>X8*(X114/'الافتراضات'!$C$94+X115/'الافتراضات'!$C$95)</f>
        <v/>
      </c>
      <c r="Y116" s="45">
        <f>Y8*(Y114/'الافتراضات'!$C$94+Y115/'الافتراضات'!$C$95)</f>
        <v/>
      </c>
      <c r="Z116" s="45">
        <f>Z8*(Z114/'الافتراضات'!$C$94+Z115/'الافتراضات'!$C$95)</f>
        <v/>
      </c>
      <c r="AA116" s="45">
        <f>AA8*(AA114/'الافتراضات'!$C$94+AA115/'الافتراضات'!$C$95)</f>
        <v/>
      </c>
      <c r="AB116" s="45">
        <f>AB8*(AB114/'الافتراضات'!$C$94+AB115/'الافتراضات'!$C$95)</f>
        <v/>
      </c>
      <c r="AC116" s="45">
        <f>AC8*(AC114/'الافتراضات'!$C$94+AC115/'الافتراضات'!$C$95)</f>
        <v/>
      </c>
      <c r="AD116" s="45">
        <f>AD8*(AD114/'الافتراضات'!$C$94+AD115/'الافتراضات'!$C$95)</f>
        <v/>
      </c>
      <c r="AE116" s="45">
        <f>AE8*(AE114/'الافتراضات'!$C$94+AE115/'الافتراضات'!$C$95)</f>
        <v/>
      </c>
      <c r="AF116" s="45">
        <f>AF8*(AF114/'الافتراضات'!$C$94+AF115/'الافتراضات'!$C$95)</f>
        <v/>
      </c>
      <c r="AG116" s="45">
        <f>AG8*(AG114/'الافتراضات'!$C$94+AG115/'الافتراضات'!$C$95)</f>
        <v/>
      </c>
      <c r="AH116" s="45">
        <f>AH8*(AH114/'الافتراضات'!$C$94+AH115/'الافتراضات'!$C$95)</f>
        <v/>
      </c>
      <c r="AI116" s="45">
        <f>AI8*(AI114/'الافتراضات'!$C$94+AI115/'الافتراضات'!$C$95)</f>
        <v/>
      </c>
      <c r="AJ116" s="45">
        <f>AJ8*(AJ114/'الافتراضات'!$C$94+AJ115/'الافتراضات'!$C$95)</f>
        <v/>
      </c>
      <c r="AK116" s="45">
        <f>AK8*(AK114/'الافتراضات'!$C$94+AK115/'الافتراضات'!$C$95)</f>
        <v/>
      </c>
      <c r="AL116" s="45">
        <f>AL8*(AL114/'الافتراضات'!$C$94+AL115/'الافتراضات'!$C$95)</f>
        <v/>
      </c>
      <c r="AM116" s="45">
        <f>AM8*(AM114/'الافتراضات'!$C$94+AM115/'الافتراضات'!$C$95)</f>
        <v/>
      </c>
      <c r="AN116" s="45">
        <f>AN8*(AN114/'الافتراضات'!$C$94+AN115/'الافتراضات'!$C$95)</f>
        <v/>
      </c>
      <c r="AO116" s="45">
        <f>AO8*(AO114/'الافتراضات'!$C$94+AO115/'الافتراضات'!$C$95)</f>
        <v/>
      </c>
      <c r="AP116" s="45">
        <f>AP8*(AP114/'الافتراضات'!$C$94+AP115/'الافتراضات'!$C$95)</f>
        <v/>
      </c>
      <c r="AQ116" s="45">
        <f>AQ8*(AQ114/'الافتراضات'!$C$94+AQ115/'الافتراضات'!$C$95)</f>
        <v/>
      </c>
      <c r="AR116" s="45">
        <f>AR8*(AR114/'الافتراضات'!$C$94+AR115/'الافتراضات'!$C$95)</f>
        <v/>
      </c>
      <c r="AS116" s="45">
        <f>AS8*(AS114/'الافتراضات'!$C$94+AS115/'الافتراضات'!$C$95)</f>
        <v/>
      </c>
      <c r="AT116" s="45">
        <f>AT8*(AT114/'الافتراضات'!$C$94+AT115/'الافتراضات'!$C$95)</f>
        <v/>
      </c>
      <c r="AU116" s="45">
        <f>AU8*(AU114/'الافتراضات'!$C$94+AU115/'الافتراضات'!$C$95)</f>
        <v/>
      </c>
      <c r="AV116" s="45">
        <f>AV8*(AV114/'الافتراضات'!$C$94+AV115/'الافتراضات'!$C$95)</f>
        <v/>
      </c>
      <c r="AW116" s="45">
        <f>AW8*(AW114/'الافتراضات'!$C$94+AW115/'الافتراضات'!$C$95)</f>
        <v/>
      </c>
      <c r="AX116" s="45">
        <f>AX8*(AX114/'الافتراضات'!$C$94+AX115/'الافتراضات'!$C$95)</f>
        <v/>
      </c>
      <c r="AY116" s="45">
        <f>AY8*(AY114/'الافتراضات'!$C$94+AY115/'الافتراضات'!$C$95)</f>
        <v/>
      </c>
      <c r="AZ116" s="45">
        <f>AZ8*(AZ114/'الافتراضات'!$C$94+AZ115/'الافتراضات'!$C$95)</f>
        <v/>
      </c>
      <c r="BA116" s="45">
        <f>BA8*(BA114/'الافتراضات'!$C$94+BA115/'الافتراضات'!$C$95)</f>
        <v/>
      </c>
      <c r="BB116" s="45">
        <f>BB8*(BB114/'الافتراضات'!$C$94+BB115/'الافتراضات'!$C$95)</f>
        <v/>
      </c>
      <c r="BC116" s="45">
        <f>BC8*(BC114/'الافتراضات'!$C$94+BC115/'الافتراضات'!$C$95)</f>
        <v/>
      </c>
      <c r="BD116" s="45">
        <f>BD8*(BD114/'الافتراضات'!$C$94+BD115/'الافتراضات'!$C$95)</f>
        <v/>
      </c>
      <c r="BE116" s="45">
        <f>BE8*(BE114/'الافتراضات'!$C$94+BE115/'الافتراضات'!$C$95)</f>
        <v/>
      </c>
      <c r="BF116" s="45">
        <f>BF8*(BF114/'الافتراضات'!$C$94+BF115/'الافتراضات'!$C$95)</f>
        <v/>
      </c>
      <c r="BG116" s="45">
        <f>BG8*(BG114/'الافتراضات'!$C$94+BG115/'الافتراضات'!$C$95)</f>
        <v/>
      </c>
      <c r="BH116" s="45">
        <f>BH8*(BH114/'الافتراضات'!$C$94+BH115/'الافتراضات'!$C$95)</f>
        <v/>
      </c>
      <c r="BI116" s="45">
        <f>BI8*(BI114/'الافتراضات'!$C$94+BI115/'الافتراضات'!$C$95)</f>
        <v/>
      </c>
      <c r="BJ116" s="45">
        <f>BJ8*(BJ114/'الافتراضات'!$C$94+BJ115/'الافتراضات'!$C$95)</f>
        <v/>
      </c>
      <c r="BK116" s="45">
        <f>BK8*(BK114/'الافتراضات'!$C$94+BK115/'الافتراضات'!$C$95)</f>
        <v/>
      </c>
      <c r="BL116" s="45">
        <f>BL8*(BL114/'الافتراضات'!$C$94+BL115/'الافتراضات'!$C$95)</f>
        <v/>
      </c>
      <c r="BM116" s="45">
        <f>BM8*(BM114/'الافتراضات'!$C$94+BM115/'الافتراضات'!$C$95)</f>
        <v/>
      </c>
    </row>
    <row r="117">
      <c r="A117" s="15" t="inlineStr">
        <is>
          <t>EBIT</t>
        </is>
      </c>
      <c r="B117" s="22" t="inlineStr">
        <is>
          <t>ج.م</t>
        </is>
      </c>
      <c r="C117" s="45">
        <f>C105-C116</f>
        <v/>
      </c>
      <c r="D117" s="45">
        <f>D105-D116</f>
        <v/>
      </c>
      <c r="E117" s="45">
        <f>E105-E116</f>
        <v/>
      </c>
      <c r="F117" s="45">
        <f>F105-F116</f>
        <v/>
      </c>
      <c r="G117" s="45">
        <f>G105-G116</f>
        <v/>
      </c>
      <c r="H117" s="45">
        <f>H105-H116</f>
        <v/>
      </c>
      <c r="I117" s="45">
        <f>I105-I116</f>
        <v/>
      </c>
      <c r="J117" s="45">
        <f>J105-J116</f>
        <v/>
      </c>
      <c r="K117" s="45">
        <f>K105-K116</f>
        <v/>
      </c>
      <c r="L117" s="45">
        <f>L105-L116</f>
        <v/>
      </c>
      <c r="M117" s="45">
        <f>M105-M116</f>
        <v/>
      </c>
      <c r="N117" s="45">
        <f>N105-N116</f>
        <v/>
      </c>
      <c r="O117" s="45">
        <f>O105-O116</f>
        <v/>
      </c>
      <c r="P117" s="45">
        <f>P105-P116</f>
        <v/>
      </c>
      <c r="Q117" s="45">
        <f>Q105-Q116</f>
        <v/>
      </c>
      <c r="R117" s="45">
        <f>R105-R116</f>
        <v/>
      </c>
      <c r="S117" s="45">
        <f>S105-S116</f>
        <v/>
      </c>
      <c r="T117" s="45">
        <f>T105-T116</f>
        <v/>
      </c>
      <c r="U117" s="45">
        <f>U105-U116</f>
        <v/>
      </c>
      <c r="V117" s="45">
        <f>V105-V116</f>
        <v/>
      </c>
      <c r="W117" s="45">
        <f>W105-W116</f>
        <v/>
      </c>
      <c r="X117" s="45">
        <f>X105-X116</f>
        <v/>
      </c>
      <c r="Y117" s="45">
        <f>Y105-Y116</f>
        <v/>
      </c>
      <c r="Z117" s="45">
        <f>Z105-Z116</f>
        <v/>
      </c>
      <c r="AA117" s="45">
        <f>AA105-AA116</f>
        <v/>
      </c>
      <c r="AB117" s="45">
        <f>AB105-AB116</f>
        <v/>
      </c>
      <c r="AC117" s="45">
        <f>AC105-AC116</f>
        <v/>
      </c>
      <c r="AD117" s="45">
        <f>AD105-AD116</f>
        <v/>
      </c>
      <c r="AE117" s="45">
        <f>AE105-AE116</f>
        <v/>
      </c>
      <c r="AF117" s="45">
        <f>AF105-AF116</f>
        <v/>
      </c>
      <c r="AG117" s="45">
        <f>AG105-AG116</f>
        <v/>
      </c>
      <c r="AH117" s="45">
        <f>AH105-AH116</f>
        <v/>
      </c>
      <c r="AI117" s="45">
        <f>AI105-AI116</f>
        <v/>
      </c>
      <c r="AJ117" s="45">
        <f>AJ105-AJ116</f>
        <v/>
      </c>
      <c r="AK117" s="45">
        <f>AK105-AK116</f>
        <v/>
      </c>
      <c r="AL117" s="45">
        <f>AL105-AL116</f>
        <v/>
      </c>
      <c r="AM117" s="45">
        <f>AM105-AM116</f>
        <v/>
      </c>
      <c r="AN117" s="45">
        <f>AN105-AN116</f>
        <v/>
      </c>
      <c r="AO117" s="45">
        <f>AO105-AO116</f>
        <v/>
      </c>
      <c r="AP117" s="45">
        <f>AP105-AP116</f>
        <v/>
      </c>
      <c r="AQ117" s="45">
        <f>AQ105-AQ116</f>
        <v/>
      </c>
      <c r="AR117" s="45">
        <f>AR105-AR116</f>
        <v/>
      </c>
      <c r="AS117" s="45">
        <f>AS105-AS116</f>
        <v/>
      </c>
      <c r="AT117" s="45">
        <f>AT105-AT116</f>
        <v/>
      </c>
      <c r="AU117" s="45">
        <f>AU105-AU116</f>
        <v/>
      </c>
      <c r="AV117" s="45">
        <f>AV105-AV116</f>
        <v/>
      </c>
      <c r="AW117" s="45">
        <f>AW105-AW116</f>
        <v/>
      </c>
      <c r="AX117" s="45">
        <f>AX105-AX116</f>
        <v/>
      </c>
      <c r="AY117" s="45">
        <f>AY105-AY116</f>
        <v/>
      </c>
      <c r="AZ117" s="45">
        <f>AZ105-AZ116</f>
        <v/>
      </c>
      <c r="BA117" s="45">
        <f>BA105-BA116</f>
        <v/>
      </c>
      <c r="BB117" s="45">
        <f>BB105-BB116</f>
        <v/>
      </c>
      <c r="BC117" s="45">
        <f>BC105-BC116</f>
        <v/>
      </c>
      <c r="BD117" s="45">
        <f>BD105-BD116</f>
        <v/>
      </c>
      <c r="BE117" s="45">
        <f>BE105-BE116</f>
        <v/>
      </c>
      <c r="BF117" s="45">
        <f>BF105-BF116</f>
        <v/>
      </c>
      <c r="BG117" s="45">
        <f>BG105-BG116</f>
        <v/>
      </c>
      <c r="BH117" s="45">
        <f>BH105-BH116</f>
        <v/>
      </c>
      <c r="BI117" s="45">
        <f>BI105-BI116</f>
        <v/>
      </c>
      <c r="BJ117" s="45">
        <f>BJ105-BJ116</f>
        <v/>
      </c>
      <c r="BK117" s="45">
        <f>BK105-BK116</f>
        <v/>
      </c>
      <c r="BL117" s="45">
        <f>BL105-BL116</f>
        <v/>
      </c>
      <c r="BM117" s="45">
        <f>BM105-BM116</f>
        <v/>
      </c>
    </row>
    <row r="118">
      <c r="A118" s="4" t="inlineStr">
        <is>
          <t>EBIT التراكمي (ترحيل الخسائر)</t>
        </is>
      </c>
      <c r="B118" s="22" t="inlineStr">
        <is>
          <t>ج.م</t>
        </is>
      </c>
      <c r="C118" s="45">
        <f>C117</f>
        <v/>
      </c>
      <c r="D118" s="45">
        <f>C118+D117</f>
        <v/>
      </c>
      <c r="E118" s="45">
        <f>D118+E117</f>
        <v/>
      </c>
      <c r="F118" s="45">
        <f>E118+F117</f>
        <v/>
      </c>
      <c r="G118" s="45">
        <f>F118+G117</f>
        <v/>
      </c>
      <c r="H118" s="45">
        <f>G118+H117</f>
        <v/>
      </c>
      <c r="I118" s="45">
        <f>H118+I117</f>
        <v/>
      </c>
      <c r="J118" s="45">
        <f>I118+J117</f>
        <v/>
      </c>
      <c r="K118" s="45">
        <f>J118+K117</f>
        <v/>
      </c>
      <c r="L118" s="45">
        <f>K118+L117</f>
        <v/>
      </c>
      <c r="M118" s="45">
        <f>L118+M117</f>
        <v/>
      </c>
      <c r="N118" s="45">
        <f>M118+N117</f>
        <v/>
      </c>
      <c r="O118" s="45">
        <f>N118+O117</f>
        <v/>
      </c>
      <c r="P118" s="45">
        <f>O118+P117</f>
        <v/>
      </c>
      <c r="Q118" s="45">
        <f>P118+Q117</f>
        <v/>
      </c>
      <c r="R118" s="45">
        <f>Q118+R117</f>
        <v/>
      </c>
      <c r="S118" s="45">
        <f>R118+S117</f>
        <v/>
      </c>
      <c r="T118" s="45">
        <f>S118+T117</f>
        <v/>
      </c>
      <c r="U118" s="45">
        <f>T118+U117</f>
        <v/>
      </c>
      <c r="V118" s="45">
        <f>U118+V117</f>
        <v/>
      </c>
      <c r="W118" s="45">
        <f>V118+W117</f>
        <v/>
      </c>
      <c r="X118" s="45">
        <f>W118+X117</f>
        <v/>
      </c>
      <c r="Y118" s="45">
        <f>X118+Y117</f>
        <v/>
      </c>
      <c r="Z118" s="45">
        <f>Y118+Z117</f>
        <v/>
      </c>
      <c r="AA118" s="45">
        <f>Z118+AA117</f>
        <v/>
      </c>
      <c r="AB118" s="45">
        <f>AA118+AB117</f>
        <v/>
      </c>
      <c r="AC118" s="45">
        <f>AB118+AC117</f>
        <v/>
      </c>
      <c r="AD118" s="45">
        <f>AC118+AD117</f>
        <v/>
      </c>
      <c r="AE118" s="45">
        <f>AD118+AE117</f>
        <v/>
      </c>
      <c r="AF118" s="45">
        <f>AE118+AF117</f>
        <v/>
      </c>
      <c r="AG118" s="45">
        <f>AF118+AG117</f>
        <v/>
      </c>
      <c r="AH118" s="45">
        <f>AG118+AH117</f>
        <v/>
      </c>
      <c r="AI118" s="45">
        <f>AH118+AI117</f>
        <v/>
      </c>
      <c r="AJ118" s="45">
        <f>AI118+AJ117</f>
        <v/>
      </c>
      <c r="AK118" s="45">
        <f>AJ118+AK117</f>
        <v/>
      </c>
      <c r="AL118" s="45">
        <f>AK118+AL117</f>
        <v/>
      </c>
      <c r="AM118" s="45">
        <f>AL118+AM117</f>
        <v/>
      </c>
      <c r="AN118" s="45">
        <f>AM118+AN117</f>
        <v/>
      </c>
      <c r="AO118" s="45">
        <f>AN118+AO117</f>
        <v/>
      </c>
      <c r="AP118" s="45">
        <f>AO118+AP117</f>
        <v/>
      </c>
      <c r="AQ118" s="45">
        <f>AP118+AQ117</f>
        <v/>
      </c>
      <c r="AR118" s="45">
        <f>AQ118+AR117</f>
        <v/>
      </c>
      <c r="AS118" s="45">
        <f>AR118+AS117</f>
        <v/>
      </c>
      <c r="AT118" s="45">
        <f>AS118+AT117</f>
        <v/>
      </c>
      <c r="AU118" s="45">
        <f>AT118+AU117</f>
        <v/>
      </c>
      <c r="AV118" s="45">
        <f>AU118+AV117</f>
        <v/>
      </c>
      <c r="AW118" s="45">
        <f>AV118+AW117</f>
        <v/>
      </c>
      <c r="AX118" s="45">
        <f>AW118+AX117</f>
        <v/>
      </c>
      <c r="AY118" s="45">
        <f>AX118+AY117</f>
        <v/>
      </c>
      <c r="AZ118" s="45">
        <f>AY118+AZ117</f>
        <v/>
      </c>
      <c r="BA118" s="45">
        <f>AZ118+BA117</f>
        <v/>
      </c>
      <c r="BB118" s="45">
        <f>BA118+BB117</f>
        <v/>
      </c>
      <c r="BC118" s="45">
        <f>BB118+BC117</f>
        <v/>
      </c>
      <c r="BD118" s="45">
        <f>BC118+BD117</f>
        <v/>
      </c>
      <c r="BE118" s="45">
        <f>BD118+BE117</f>
        <v/>
      </c>
      <c r="BF118" s="45">
        <f>BE118+BF117</f>
        <v/>
      </c>
      <c r="BG118" s="45">
        <f>BF118+BG117</f>
        <v/>
      </c>
      <c r="BH118" s="45">
        <f>BG118+BH117</f>
        <v/>
      </c>
      <c r="BI118" s="45">
        <f>BH118+BI117</f>
        <v/>
      </c>
      <c r="BJ118" s="45">
        <f>BI118+BJ117</f>
        <v/>
      </c>
      <c r="BK118" s="45">
        <f>BJ118+BK117</f>
        <v/>
      </c>
      <c r="BL118" s="45">
        <f>BK118+BL117</f>
        <v/>
      </c>
      <c r="BM118" s="45">
        <f>BL118+BM117</f>
        <v/>
      </c>
    </row>
    <row r="119">
      <c r="A119" s="4" t="inlineStr">
        <is>
          <t>الربح الخاضع للضريبة بعد الخسائر</t>
        </is>
      </c>
      <c r="B119" s="22" t="inlineStr">
        <is>
          <t>ج.م</t>
        </is>
      </c>
      <c r="C119" s="45">
        <f>MAX(0,MIN(C117,C118))</f>
        <v/>
      </c>
      <c r="D119" s="45">
        <f>MAX(0,MIN(D117,D118))</f>
        <v/>
      </c>
      <c r="E119" s="45">
        <f>MAX(0,MIN(E117,E118))</f>
        <v/>
      </c>
      <c r="F119" s="45">
        <f>MAX(0,MIN(F117,F118))</f>
        <v/>
      </c>
      <c r="G119" s="45">
        <f>MAX(0,MIN(G117,G118))</f>
        <v/>
      </c>
      <c r="H119" s="45">
        <f>MAX(0,MIN(H117,H118))</f>
        <v/>
      </c>
      <c r="I119" s="45">
        <f>MAX(0,MIN(I117,I118))</f>
        <v/>
      </c>
      <c r="J119" s="45">
        <f>MAX(0,MIN(J117,J118))</f>
        <v/>
      </c>
      <c r="K119" s="45">
        <f>MAX(0,MIN(K117,K118))</f>
        <v/>
      </c>
      <c r="L119" s="45">
        <f>MAX(0,MIN(L117,L118))</f>
        <v/>
      </c>
      <c r="M119" s="45">
        <f>MAX(0,MIN(M117,M118))</f>
        <v/>
      </c>
      <c r="N119" s="45">
        <f>MAX(0,MIN(N117,N118))</f>
        <v/>
      </c>
      <c r="O119" s="45">
        <f>MAX(0,MIN(O117,O118))</f>
        <v/>
      </c>
      <c r="P119" s="45">
        <f>MAX(0,MIN(P117,P118))</f>
        <v/>
      </c>
      <c r="Q119" s="45">
        <f>MAX(0,MIN(Q117,Q118))</f>
        <v/>
      </c>
      <c r="R119" s="45">
        <f>MAX(0,MIN(R117,R118))</f>
        <v/>
      </c>
      <c r="S119" s="45">
        <f>MAX(0,MIN(S117,S118))</f>
        <v/>
      </c>
      <c r="T119" s="45">
        <f>MAX(0,MIN(T117,T118))</f>
        <v/>
      </c>
      <c r="U119" s="45">
        <f>MAX(0,MIN(U117,U118))</f>
        <v/>
      </c>
      <c r="V119" s="45">
        <f>MAX(0,MIN(V117,V118))</f>
        <v/>
      </c>
      <c r="W119" s="45">
        <f>MAX(0,MIN(W117,W118))</f>
        <v/>
      </c>
      <c r="X119" s="45">
        <f>MAX(0,MIN(X117,X118))</f>
        <v/>
      </c>
      <c r="Y119" s="45">
        <f>MAX(0,MIN(Y117,Y118))</f>
        <v/>
      </c>
      <c r="Z119" s="45">
        <f>MAX(0,MIN(Z117,Z118))</f>
        <v/>
      </c>
      <c r="AA119" s="45">
        <f>MAX(0,MIN(AA117,AA118))</f>
        <v/>
      </c>
      <c r="AB119" s="45">
        <f>MAX(0,MIN(AB117,AB118))</f>
        <v/>
      </c>
      <c r="AC119" s="45">
        <f>MAX(0,MIN(AC117,AC118))</f>
        <v/>
      </c>
      <c r="AD119" s="45">
        <f>MAX(0,MIN(AD117,AD118))</f>
        <v/>
      </c>
      <c r="AE119" s="45">
        <f>MAX(0,MIN(AE117,AE118))</f>
        <v/>
      </c>
      <c r="AF119" s="45">
        <f>MAX(0,MIN(AF117,AF118))</f>
        <v/>
      </c>
      <c r="AG119" s="45">
        <f>MAX(0,MIN(AG117,AG118))</f>
        <v/>
      </c>
      <c r="AH119" s="45">
        <f>MAX(0,MIN(AH117,AH118))</f>
        <v/>
      </c>
      <c r="AI119" s="45">
        <f>MAX(0,MIN(AI117,AI118))</f>
        <v/>
      </c>
      <c r="AJ119" s="45">
        <f>MAX(0,MIN(AJ117,AJ118))</f>
        <v/>
      </c>
      <c r="AK119" s="45">
        <f>MAX(0,MIN(AK117,AK118))</f>
        <v/>
      </c>
      <c r="AL119" s="45">
        <f>MAX(0,MIN(AL117,AL118))</f>
        <v/>
      </c>
      <c r="AM119" s="45">
        <f>MAX(0,MIN(AM117,AM118))</f>
        <v/>
      </c>
      <c r="AN119" s="45">
        <f>MAX(0,MIN(AN117,AN118))</f>
        <v/>
      </c>
      <c r="AO119" s="45">
        <f>MAX(0,MIN(AO117,AO118))</f>
        <v/>
      </c>
      <c r="AP119" s="45">
        <f>MAX(0,MIN(AP117,AP118))</f>
        <v/>
      </c>
      <c r="AQ119" s="45">
        <f>MAX(0,MIN(AQ117,AQ118))</f>
        <v/>
      </c>
      <c r="AR119" s="45">
        <f>MAX(0,MIN(AR117,AR118))</f>
        <v/>
      </c>
      <c r="AS119" s="45">
        <f>MAX(0,MIN(AS117,AS118))</f>
        <v/>
      </c>
      <c r="AT119" s="45">
        <f>MAX(0,MIN(AT117,AT118))</f>
        <v/>
      </c>
      <c r="AU119" s="45">
        <f>MAX(0,MIN(AU117,AU118))</f>
        <v/>
      </c>
      <c r="AV119" s="45">
        <f>MAX(0,MIN(AV117,AV118))</f>
        <v/>
      </c>
      <c r="AW119" s="45">
        <f>MAX(0,MIN(AW117,AW118))</f>
        <v/>
      </c>
      <c r="AX119" s="45">
        <f>MAX(0,MIN(AX117,AX118))</f>
        <v/>
      </c>
      <c r="AY119" s="45">
        <f>MAX(0,MIN(AY117,AY118))</f>
        <v/>
      </c>
      <c r="AZ119" s="45">
        <f>MAX(0,MIN(AZ117,AZ118))</f>
        <v/>
      </c>
      <c r="BA119" s="45">
        <f>MAX(0,MIN(BA117,BA118))</f>
        <v/>
      </c>
      <c r="BB119" s="45">
        <f>MAX(0,MIN(BB117,BB118))</f>
        <v/>
      </c>
      <c r="BC119" s="45">
        <f>MAX(0,MIN(BC117,BC118))</f>
        <v/>
      </c>
      <c r="BD119" s="45">
        <f>MAX(0,MIN(BD117,BD118))</f>
        <v/>
      </c>
      <c r="BE119" s="45">
        <f>MAX(0,MIN(BE117,BE118))</f>
        <v/>
      </c>
      <c r="BF119" s="45">
        <f>MAX(0,MIN(BF117,BF118))</f>
        <v/>
      </c>
      <c r="BG119" s="45">
        <f>MAX(0,MIN(BG117,BG118))</f>
        <v/>
      </c>
      <c r="BH119" s="45">
        <f>MAX(0,MIN(BH117,BH118))</f>
        <v/>
      </c>
      <c r="BI119" s="45">
        <f>MAX(0,MIN(BI117,BI118))</f>
        <v/>
      </c>
      <c r="BJ119" s="45">
        <f>MAX(0,MIN(BJ117,BJ118))</f>
        <v/>
      </c>
      <c r="BK119" s="45">
        <f>MAX(0,MIN(BK117,BK118))</f>
        <v/>
      </c>
      <c r="BL119" s="45">
        <f>MAX(0,MIN(BL117,BL118))</f>
        <v/>
      </c>
      <c r="BM119" s="45">
        <f>MAX(0,MIN(BM117,BM118))</f>
        <v/>
      </c>
    </row>
    <row r="120">
      <c r="A120" s="4" t="inlineStr">
        <is>
          <t>ضريبة الدخل</t>
        </is>
      </c>
      <c r="B120" s="22" t="inlineStr">
        <is>
          <t>ج.م</t>
        </is>
      </c>
      <c r="C120" s="45">
        <f>C119*'الافتراضات'!$C$104</f>
        <v/>
      </c>
      <c r="D120" s="45">
        <f>D119*'الافتراضات'!$C$104</f>
        <v/>
      </c>
      <c r="E120" s="45">
        <f>E119*'الافتراضات'!$C$104</f>
        <v/>
      </c>
      <c r="F120" s="45">
        <f>F119*'الافتراضات'!$C$104</f>
        <v/>
      </c>
      <c r="G120" s="45">
        <f>G119*'الافتراضات'!$C$104</f>
        <v/>
      </c>
      <c r="H120" s="45">
        <f>H119*'الافتراضات'!$C$104</f>
        <v/>
      </c>
      <c r="I120" s="45">
        <f>I119*'الافتراضات'!$C$104</f>
        <v/>
      </c>
      <c r="J120" s="45">
        <f>J119*'الافتراضات'!$C$104</f>
        <v/>
      </c>
      <c r="K120" s="45">
        <f>K119*'الافتراضات'!$C$104</f>
        <v/>
      </c>
      <c r="L120" s="45">
        <f>L119*'الافتراضات'!$C$104</f>
        <v/>
      </c>
      <c r="M120" s="45">
        <f>M119*'الافتراضات'!$C$104</f>
        <v/>
      </c>
      <c r="N120" s="45">
        <f>N119*'الافتراضات'!$C$104</f>
        <v/>
      </c>
      <c r="O120" s="45">
        <f>O119*'الافتراضات'!$C$104</f>
        <v/>
      </c>
      <c r="P120" s="45">
        <f>P119*'الافتراضات'!$C$104</f>
        <v/>
      </c>
      <c r="Q120" s="45">
        <f>Q119*'الافتراضات'!$C$104</f>
        <v/>
      </c>
      <c r="R120" s="45">
        <f>R119*'الافتراضات'!$C$104</f>
        <v/>
      </c>
      <c r="S120" s="45">
        <f>S119*'الافتراضات'!$C$104</f>
        <v/>
      </c>
      <c r="T120" s="45">
        <f>T119*'الافتراضات'!$C$104</f>
        <v/>
      </c>
      <c r="U120" s="45">
        <f>U119*'الافتراضات'!$C$104</f>
        <v/>
      </c>
      <c r="V120" s="45">
        <f>V119*'الافتراضات'!$C$104</f>
        <v/>
      </c>
      <c r="W120" s="45">
        <f>W119*'الافتراضات'!$C$104</f>
        <v/>
      </c>
      <c r="X120" s="45">
        <f>X119*'الافتراضات'!$C$104</f>
        <v/>
      </c>
      <c r="Y120" s="45">
        <f>Y119*'الافتراضات'!$C$104</f>
        <v/>
      </c>
      <c r="Z120" s="45">
        <f>Z119*'الافتراضات'!$C$104</f>
        <v/>
      </c>
      <c r="AA120" s="45">
        <f>AA119*'الافتراضات'!$C$104</f>
        <v/>
      </c>
      <c r="AB120" s="45">
        <f>AB119*'الافتراضات'!$C$104</f>
        <v/>
      </c>
      <c r="AC120" s="45">
        <f>AC119*'الافتراضات'!$C$104</f>
        <v/>
      </c>
      <c r="AD120" s="45">
        <f>AD119*'الافتراضات'!$C$104</f>
        <v/>
      </c>
      <c r="AE120" s="45">
        <f>AE119*'الافتراضات'!$C$104</f>
        <v/>
      </c>
      <c r="AF120" s="45">
        <f>AF119*'الافتراضات'!$C$104</f>
        <v/>
      </c>
      <c r="AG120" s="45">
        <f>AG119*'الافتراضات'!$C$104</f>
        <v/>
      </c>
      <c r="AH120" s="45">
        <f>AH119*'الافتراضات'!$C$104</f>
        <v/>
      </c>
      <c r="AI120" s="45">
        <f>AI119*'الافتراضات'!$C$104</f>
        <v/>
      </c>
      <c r="AJ120" s="45">
        <f>AJ119*'الافتراضات'!$C$104</f>
        <v/>
      </c>
      <c r="AK120" s="45">
        <f>AK119*'الافتراضات'!$C$104</f>
        <v/>
      </c>
      <c r="AL120" s="45">
        <f>AL119*'الافتراضات'!$C$104</f>
        <v/>
      </c>
      <c r="AM120" s="45">
        <f>AM119*'الافتراضات'!$C$104</f>
        <v/>
      </c>
      <c r="AN120" s="45">
        <f>AN119*'الافتراضات'!$C$104</f>
        <v/>
      </c>
      <c r="AO120" s="45">
        <f>AO119*'الافتراضات'!$C$104</f>
        <v/>
      </c>
      <c r="AP120" s="45">
        <f>AP119*'الافتراضات'!$C$104</f>
        <v/>
      </c>
      <c r="AQ120" s="45">
        <f>AQ119*'الافتراضات'!$C$104</f>
        <v/>
      </c>
      <c r="AR120" s="45">
        <f>AR119*'الافتراضات'!$C$104</f>
        <v/>
      </c>
      <c r="AS120" s="45">
        <f>AS119*'الافتراضات'!$C$104</f>
        <v/>
      </c>
      <c r="AT120" s="45">
        <f>AT119*'الافتراضات'!$C$104</f>
        <v/>
      </c>
      <c r="AU120" s="45">
        <f>AU119*'الافتراضات'!$C$104</f>
        <v/>
      </c>
      <c r="AV120" s="45">
        <f>AV119*'الافتراضات'!$C$104</f>
        <v/>
      </c>
      <c r="AW120" s="45">
        <f>AW119*'الافتراضات'!$C$104</f>
        <v/>
      </c>
      <c r="AX120" s="45">
        <f>AX119*'الافتراضات'!$C$104</f>
        <v/>
      </c>
      <c r="AY120" s="45">
        <f>AY119*'الافتراضات'!$C$104</f>
        <v/>
      </c>
      <c r="AZ120" s="45">
        <f>AZ119*'الافتراضات'!$C$104</f>
        <v/>
      </c>
      <c r="BA120" s="45">
        <f>BA119*'الافتراضات'!$C$104</f>
        <v/>
      </c>
      <c r="BB120" s="45">
        <f>BB119*'الافتراضات'!$C$104</f>
        <v/>
      </c>
      <c r="BC120" s="45">
        <f>BC119*'الافتراضات'!$C$104</f>
        <v/>
      </c>
      <c r="BD120" s="45">
        <f>BD119*'الافتراضات'!$C$104</f>
        <v/>
      </c>
      <c r="BE120" s="45">
        <f>BE119*'الافتراضات'!$C$104</f>
        <v/>
      </c>
      <c r="BF120" s="45">
        <f>BF119*'الافتراضات'!$C$104</f>
        <v/>
      </c>
      <c r="BG120" s="45">
        <f>BG119*'الافتراضات'!$C$104</f>
        <v/>
      </c>
      <c r="BH120" s="45">
        <f>BH119*'الافتراضات'!$C$104</f>
        <v/>
      </c>
      <c r="BI120" s="45">
        <f>BI119*'الافتراضات'!$C$104</f>
        <v/>
      </c>
      <c r="BJ120" s="45">
        <f>BJ119*'الافتراضات'!$C$104</f>
        <v/>
      </c>
      <c r="BK120" s="45">
        <f>BK119*'الافتراضات'!$C$104</f>
        <v/>
      </c>
      <c r="BL120" s="45">
        <f>BL119*'الافتراضات'!$C$104</f>
        <v/>
      </c>
      <c r="BM120" s="45">
        <f>BM119*'الافتراضات'!$C$104</f>
        <v/>
      </c>
    </row>
    <row r="121">
      <c r="A121" s="48" t="inlineStr">
        <is>
          <t>صافي الدخل</t>
        </is>
      </c>
      <c r="B121" s="49" t="inlineStr">
        <is>
          <t>ج.م</t>
        </is>
      </c>
      <c r="C121" s="52">
        <f>C117-C120</f>
        <v/>
      </c>
      <c r="D121" s="52">
        <f>D117-D120</f>
        <v/>
      </c>
      <c r="E121" s="52">
        <f>E117-E120</f>
        <v/>
      </c>
      <c r="F121" s="52">
        <f>F117-F120</f>
        <v/>
      </c>
      <c r="G121" s="52">
        <f>G117-G120</f>
        <v/>
      </c>
      <c r="H121" s="52">
        <f>H117-H120</f>
        <v/>
      </c>
      <c r="I121" s="52">
        <f>I117-I120</f>
        <v/>
      </c>
      <c r="J121" s="52">
        <f>J117-J120</f>
        <v/>
      </c>
      <c r="K121" s="52">
        <f>K117-K120</f>
        <v/>
      </c>
      <c r="L121" s="52">
        <f>L117-L120</f>
        <v/>
      </c>
      <c r="M121" s="52">
        <f>M117-M120</f>
        <v/>
      </c>
      <c r="N121" s="52">
        <f>N117-N120</f>
        <v/>
      </c>
      <c r="O121" s="52">
        <f>O117-O120</f>
        <v/>
      </c>
      <c r="P121" s="52">
        <f>P117-P120</f>
        <v/>
      </c>
      <c r="Q121" s="52">
        <f>Q117-Q120</f>
        <v/>
      </c>
      <c r="R121" s="52">
        <f>R117-R120</f>
        <v/>
      </c>
      <c r="S121" s="52">
        <f>S117-S120</f>
        <v/>
      </c>
      <c r="T121" s="52">
        <f>T117-T120</f>
        <v/>
      </c>
      <c r="U121" s="52">
        <f>U117-U120</f>
        <v/>
      </c>
      <c r="V121" s="52">
        <f>V117-V120</f>
        <v/>
      </c>
      <c r="W121" s="52">
        <f>W117-W120</f>
        <v/>
      </c>
      <c r="X121" s="52">
        <f>X117-X120</f>
        <v/>
      </c>
      <c r="Y121" s="52">
        <f>Y117-Y120</f>
        <v/>
      </c>
      <c r="Z121" s="52">
        <f>Z117-Z120</f>
        <v/>
      </c>
      <c r="AA121" s="52">
        <f>AA117-AA120</f>
        <v/>
      </c>
      <c r="AB121" s="52">
        <f>AB117-AB120</f>
        <v/>
      </c>
      <c r="AC121" s="52">
        <f>AC117-AC120</f>
        <v/>
      </c>
      <c r="AD121" s="52">
        <f>AD117-AD120</f>
        <v/>
      </c>
      <c r="AE121" s="52">
        <f>AE117-AE120</f>
        <v/>
      </c>
      <c r="AF121" s="52">
        <f>AF117-AF120</f>
        <v/>
      </c>
      <c r="AG121" s="52">
        <f>AG117-AG120</f>
        <v/>
      </c>
      <c r="AH121" s="52">
        <f>AH117-AH120</f>
        <v/>
      </c>
      <c r="AI121" s="52">
        <f>AI117-AI120</f>
        <v/>
      </c>
      <c r="AJ121" s="52">
        <f>AJ117-AJ120</f>
        <v/>
      </c>
      <c r="AK121" s="52">
        <f>AK117-AK120</f>
        <v/>
      </c>
      <c r="AL121" s="52">
        <f>AL117-AL120</f>
        <v/>
      </c>
      <c r="AM121" s="52">
        <f>AM117-AM120</f>
        <v/>
      </c>
      <c r="AN121" s="52">
        <f>AN117-AN120</f>
        <v/>
      </c>
      <c r="AO121" s="52">
        <f>AO117-AO120</f>
        <v/>
      </c>
      <c r="AP121" s="52">
        <f>AP117-AP120</f>
        <v/>
      </c>
      <c r="AQ121" s="52">
        <f>AQ117-AQ120</f>
        <v/>
      </c>
      <c r="AR121" s="52">
        <f>AR117-AR120</f>
        <v/>
      </c>
      <c r="AS121" s="52">
        <f>AS117-AS120</f>
        <v/>
      </c>
      <c r="AT121" s="52">
        <f>AT117-AT120</f>
        <v/>
      </c>
      <c r="AU121" s="52">
        <f>AU117-AU120</f>
        <v/>
      </c>
      <c r="AV121" s="52">
        <f>AV117-AV120</f>
        <v/>
      </c>
      <c r="AW121" s="52">
        <f>AW117-AW120</f>
        <v/>
      </c>
      <c r="AX121" s="52">
        <f>AX117-AX120</f>
        <v/>
      </c>
      <c r="AY121" s="52">
        <f>AY117-AY120</f>
        <v/>
      </c>
      <c r="AZ121" s="52">
        <f>AZ117-AZ120</f>
        <v/>
      </c>
      <c r="BA121" s="52">
        <f>BA117-BA120</f>
        <v/>
      </c>
      <c r="BB121" s="52">
        <f>BB117-BB120</f>
        <v/>
      </c>
      <c r="BC121" s="52">
        <f>BC117-BC120</f>
        <v/>
      </c>
      <c r="BD121" s="52">
        <f>BD117-BD120</f>
        <v/>
      </c>
      <c r="BE121" s="52">
        <f>BE117-BE120</f>
        <v/>
      </c>
      <c r="BF121" s="52">
        <f>BF117-BF120</f>
        <v/>
      </c>
      <c r="BG121" s="52">
        <f>BG117-BG120</f>
        <v/>
      </c>
      <c r="BH121" s="52">
        <f>BH117-BH120</f>
        <v/>
      </c>
      <c r="BI121" s="52">
        <f>BI117-BI120</f>
        <v/>
      </c>
      <c r="BJ121" s="52">
        <f>BJ117-BJ120</f>
        <v/>
      </c>
      <c r="BK121" s="52">
        <f>BK117-BK120</f>
        <v/>
      </c>
      <c r="BL121" s="52">
        <f>BL117-BL120</f>
        <v/>
      </c>
      <c r="BM121" s="52">
        <f>BM117-BM120</f>
        <v/>
      </c>
    </row>
    <row r="122"/>
    <row r="123">
      <c r="A123" s="40" t="inlineStr">
        <is>
          <t>رأس المال العامل والنقدية</t>
        </is>
      </c>
      <c r="B123" s="41" t="n"/>
      <c r="C123" s="41" t="n"/>
      <c r="D123" s="41" t="n"/>
      <c r="E123" s="41" t="n"/>
      <c r="F123" s="41" t="n"/>
      <c r="G123" s="41" t="n"/>
      <c r="H123" s="41" t="n"/>
      <c r="I123" s="41" t="n"/>
      <c r="J123" s="41" t="n"/>
      <c r="K123" s="41" t="n"/>
      <c r="L123" s="41" t="n"/>
      <c r="M123" s="41" t="n"/>
      <c r="N123" s="41" t="n"/>
      <c r="O123" s="41" t="n"/>
      <c r="P123" s="41" t="n"/>
      <c r="Q123" s="41" t="n"/>
      <c r="R123" s="41" t="n"/>
      <c r="S123" s="41" t="n"/>
      <c r="T123" s="41" t="n"/>
      <c r="U123" s="41" t="n"/>
      <c r="V123" s="41" t="n"/>
      <c r="W123" s="41" t="n"/>
      <c r="X123" s="41" t="n"/>
      <c r="Y123" s="41" t="n"/>
      <c r="Z123" s="41" t="n"/>
      <c r="AA123" s="41" t="n"/>
      <c r="AB123" s="41" t="n"/>
      <c r="AC123" s="41" t="n"/>
      <c r="AD123" s="41" t="n"/>
      <c r="AE123" s="41" t="n"/>
      <c r="AF123" s="41" t="n"/>
      <c r="AG123" s="41" t="n"/>
      <c r="AH123" s="41" t="n"/>
      <c r="AI123" s="41" t="n"/>
      <c r="AJ123" s="41" t="n"/>
      <c r="AK123" s="41" t="n"/>
      <c r="AL123" s="41" t="n"/>
      <c r="AM123" s="41" t="n"/>
      <c r="AN123" s="41" t="n"/>
      <c r="AO123" s="41" t="n"/>
      <c r="AP123" s="41" t="n"/>
      <c r="AQ123" s="41" t="n"/>
      <c r="AR123" s="41" t="n"/>
      <c r="AS123" s="41" t="n"/>
      <c r="AT123" s="41" t="n"/>
      <c r="AU123" s="41" t="n"/>
      <c r="AV123" s="41" t="n"/>
      <c r="AW123" s="41" t="n"/>
      <c r="AX123" s="41" t="n"/>
      <c r="AY123" s="41" t="n"/>
      <c r="AZ123" s="41" t="n"/>
      <c r="BA123" s="41" t="n"/>
      <c r="BB123" s="41" t="n"/>
      <c r="BC123" s="41" t="n"/>
      <c r="BD123" s="41" t="n"/>
      <c r="BE123" s="41" t="n"/>
      <c r="BF123" s="41" t="n"/>
      <c r="BG123" s="41" t="n"/>
      <c r="BH123" s="41" t="n"/>
      <c r="BI123" s="41" t="n"/>
      <c r="BJ123" s="41" t="n"/>
      <c r="BK123" s="41" t="n"/>
      <c r="BL123" s="41" t="n"/>
      <c r="BM123" s="41" t="n"/>
    </row>
    <row r="124">
      <c r="A124" s="4" t="inlineStr">
        <is>
          <t>المخزون</t>
        </is>
      </c>
      <c r="B124" s="22" t="inlineStr">
        <is>
          <t>ج.م</t>
        </is>
      </c>
      <c r="C124" s="45">
        <f>IF(C7&gt;=0,MAX(INDEX('الافتراضات'!$C$99:$G$99,C$9)*MAX(1,C94),C75/30.4*'الافتراضات'!$C$101),0)</f>
        <v/>
      </c>
      <c r="D124" s="45">
        <f>IF(D7&gt;=0,MAX(INDEX('الافتراضات'!$C$99:$G$99,D$9)*MAX(1,D94),D75/30.4*'الافتراضات'!$C$101),0)</f>
        <v/>
      </c>
      <c r="E124" s="45">
        <f>IF(E7&gt;=0,MAX(INDEX('الافتراضات'!$C$99:$G$99,E$9)*MAX(1,E94),E75/30.4*'الافتراضات'!$C$101),0)</f>
        <v/>
      </c>
      <c r="F124" s="45">
        <f>IF(F7&gt;=0,MAX(INDEX('الافتراضات'!$C$99:$G$99,F$9)*MAX(1,F94),F75/30.4*'الافتراضات'!$C$101),0)</f>
        <v/>
      </c>
      <c r="G124" s="45">
        <f>IF(G7&gt;=0,MAX(INDEX('الافتراضات'!$C$99:$G$99,G$9)*MAX(1,G94),G75/30.4*'الافتراضات'!$C$101),0)</f>
        <v/>
      </c>
      <c r="H124" s="45">
        <f>IF(H7&gt;=0,MAX(INDEX('الافتراضات'!$C$99:$G$99,H$9)*MAX(1,H94),H75/30.4*'الافتراضات'!$C$101),0)</f>
        <v/>
      </c>
      <c r="I124" s="45">
        <f>IF(I7&gt;=0,MAX(INDEX('الافتراضات'!$C$99:$G$99,I$9)*MAX(1,I94),I75/30.4*'الافتراضات'!$C$101),0)</f>
        <v/>
      </c>
      <c r="J124" s="45">
        <f>IF(J7&gt;=0,MAX(INDEX('الافتراضات'!$C$99:$G$99,J$9)*MAX(1,J94),J75/30.4*'الافتراضات'!$C$101),0)</f>
        <v/>
      </c>
      <c r="K124" s="45">
        <f>IF(K7&gt;=0,MAX(INDEX('الافتراضات'!$C$99:$G$99,K$9)*MAX(1,K94),K75/30.4*'الافتراضات'!$C$101),0)</f>
        <v/>
      </c>
      <c r="L124" s="45">
        <f>IF(L7&gt;=0,MAX(INDEX('الافتراضات'!$C$99:$G$99,L$9)*MAX(1,L94),L75/30.4*'الافتراضات'!$C$101),0)</f>
        <v/>
      </c>
      <c r="M124" s="45">
        <f>IF(M7&gt;=0,MAX(INDEX('الافتراضات'!$C$99:$G$99,M$9)*MAX(1,M94),M75/30.4*'الافتراضات'!$C$101),0)</f>
        <v/>
      </c>
      <c r="N124" s="45">
        <f>IF(N7&gt;=0,MAX(INDEX('الافتراضات'!$C$99:$G$99,N$9)*MAX(1,N94),N75/30.4*'الافتراضات'!$C$101),0)</f>
        <v/>
      </c>
      <c r="O124" s="45">
        <f>IF(O7&gt;=0,MAX(INDEX('الافتراضات'!$C$99:$G$99,O$9)*MAX(1,O94),O75/30.4*'الافتراضات'!$C$101),0)</f>
        <v/>
      </c>
      <c r="P124" s="45">
        <f>IF(P7&gt;=0,MAX(INDEX('الافتراضات'!$C$99:$G$99,P$9)*MAX(1,P94),P75/30.4*'الافتراضات'!$C$101),0)</f>
        <v/>
      </c>
      <c r="Q124" s="45">
        <f>IF(Q7&gt;=0,MAX(INDEX('الافتراضات'!$C$99:$G$99,Q$9)*MAX(1,Q94),Q75/30.4*'الافتراضات'!$C$101),0)</f>
        <v/>
      </c>
      <c r="R124" s="45">
        <f>IF(R7&gt;=0,MAX(INDEX('الافتراضات'!$C$99:$G$99,R$9)*MAX(1,R94),R75/30.4*'الافتراضات'!$C$101),0)</f>
        <v/>
      </c>
      <c r="S124" s="45">
        <f>IF(S7&gt;=0,MAX(INDEX('الافتراضات'!$C$99:$G$99,S$9)*MAX(1,S94),S75/30.4*'الافتراضات'!$C$101),0)</f>
        <v/>
      </c>
      <c r="T124" s="45">
        <f>IF(T7&gt;=0,MAX(INDEX('الافتراضات'!$C$99:$G$99,T$9)*MAX(1,T94),T75/30.4*'الافتراضات'!$C$101),0)</f>
        <v/>
      </c>
      <c r="U124" s="45">
        <f>IF(U7&gt;=0,MAX(INDEX('الافتراضات'!$C$99:$G$99,U$9)*MAX(1,U94),U75/30.4*'الافتراضات'!$C$101),0)</f>
        <v/>
      </c>
      <c r="V124" s="45">
        <f>IF(V7&gt;=0,MAX(INDEX('الافتراضات'!$C$99:$G$99,V$9)*MAX(1,V94),V75/30.4*'الافتراضات'!$C$101),0)</f>
        <v/>
      </c>
      <c r="W124" s="45">
        <f>IF(W7&gt;=0,MAX(INDEX('الافتراضات'!$C$99:$G$99,W$9)*MAX(1,W94),W75/30.4*'الافتراضات'!$C$101),0)</f>
        <v/>
      </c>
      <c r="X124" s="45">
        <f>IF(X7&gt;=0,MAX(INDEX('الافتراضات'!$C$99:$G$99,X$9)*MAX(1,X94),X75/30.4*'الافتراضات'!$C$101),0)</f>
        <v/>
      </c>
      <c r="Y124" s="45">
        <f>IF(Y7&gt;=0,MAX(INDEX('الافتراضات'!$C$99:$G$99,Y$9)*MAX(1,Y94),Y75/30.4*'الافتراضات'!$C$101),0)</f>
        <v/>
      </c>
      <c r="Z124" s="45">
        <f>IF(Z7&gt;=0,MAX(INDEX('الافتراضات'!$C$99:$G$99,Z$9)*MAX(1,Z94),Z75/30.4*'الافتراضات'!$C$101),0)</f>
        <v/>
      </c>
      <c r="AA124" s="45">
        <f>IF(AA7&gt;=0,MAX(INDEX('الافتراضات'!$C$99:$G$99,AA$9)*MAX(1,AA94),AA75/30.4*'الافتراضات'!$C$101),0)</f>
        <v/>
      </c>
      <c r="AB124" s="45">
        <f>IF(AB7&gt;=0,MAX(INDEX('الافتراضات'!$C$99:$G$99,AB$9)*MAX(1,AB94),AB75/30.4*'الافتراضات'!$C$101),0)</f>
        <v/>
      </c>
      <c r="AC124" s="45">
        <f>IF(AC7&gt;=0,MAX(INDEX('الافتراضات'!$C$99:$G$99,AC$9)*MAX(1,AC94),AC75/30.4*'الافتراضات'!$C$101),0)</f>
        <v/>
      </c>
      <c r="AD124" s="45">
        <f>IF(AD7&gt;=0,MAX(INDEX('الافتراضات'!$C$99:$G$99,AD$9)*MAX(1,AD94),AD75/30.4*'الافتراضات'!$C$101),0)</f>
        <v/>
      </c>
      <c r="AE124" s="45">
        <f>IF(AE7&gt;=0,MAX(INDEX('الافتراضات'!$C$99:$G$99,AE$9)*MAX(1,AE94),AE75/30.4*'الافتراضات'!$C$101),0)</f>
        <v/>
      </c>
      <c r="AF124" s="45">
        <f>IF(AF7&gt;=0,MAX(INDEX('الافتراضات'!$C$99:$G$99,AF$9)*MAX(1,AF94),AF75/30.4*'الافتراضات'!$C$101),0)</f>
        <v/>
      </c>
      <c r="AG124" s="45">
        <f>IF(AG7&gt;=0,MAX(INDEX('الافتراضات'!$C$99:$G$99,AG$9)*MAX(1,AG94),AG75/30.4*'الافتراضات'!$C$101),0)</f>
        <v/>
      </c>
      <c r="AH124" s="45">
        <f>IF(AH7&gt;=0,MAX(INDEX('الافتراضات'!$C$99:$G$99,AH$9)*MAX(1,AH94),AH75/30.4*'الافتراضات'!$C$101),0)</f>
        <v/>
      </c>
      <c r="AI124" s="45">
        <f>IF(AI7&gt;=0,MAX(INDEX('الافتراضات'!$C$99:$G$99,AI$9)*MAX(1,AI94),AI75/30.4*'الافتراضات'!$C$101),0)</f>
        <v/>
      </c>
      <c r="AJ124" s="45">
        <f>IF(AJ7&gt;=0,MAX(INDEX('الافتراضات'!$C$99:$G$99,AJ$9)*MAX(1,AJ94),AJ75/30.4*'الافتراضات'!$C$101),0)</f>
        <v/>
      </c>
      <c r="AK124" s="45">
        <f>IF(AK7&gt;=0,MAX(INDEX('الافتراضات'!$C$99:$G$99,AK$9)*MAX(1,AK94),AK75/30.4*'الافتراضات'!$C$101),0)</f>
        <v/>
      </c>
      <c r="AL124" s="45">
        <f>IF(AL7&gt;=0,MAX(INDEX('الافتراضات'!$C$99:$G$99,AL$9)*MAX(1,AL94),AL75/30.4*'الافتراضات'!$C$101),0)</f>
        <v/>
      </c>
      <c r="AM124" s="45">
        <f>IF(AM7&gt;=0,MAX(INDEX('الافتراضات'!$C$99:$G$99,AM$9)*MAX(1,AM94),AM75/30.4*'الافتراضات'!$C$101),0)</f>
        <v/>
      </c>
      <c r="AN124" s="45">
        <f>IF(AN7&gt;=0,MAX(INDEX('الافتراضات'!$C$99:$G$99,AN$9)*MAX(1,AN94),AN75/30.4*'الافتراضات'!$C$101),0)</f>
        <v/>
      </c>
      <c r="AO124" s="45">
        <f>IF(AO7&gt;=0,MAX(INDEX('الافتراضات'!$C$99:$G$99,AO$9)*MAX(1,AO94),AO75/30.4*'الافتراضات'!$C$101),0)</f>
        <v/>
      </c>
      <c r="AP124" s="45">
        <f>IF(AP7&gt;=0,MAX(INDEX('الافتراضات'!$C$99:$G$99,AP$9)*MAX(1,AP94),AP75/30.4*'الافتراضات'!$C$101),0)</f>
        <v/>
      </c>
      <c r="AQ124" s="45">
        <f>IF(AQ7&gt;=0,MAX(INDEX('الافتراضات'!$C$99:$G$99,AQ$9)*MAX(1,AQ94),AQ75/30.4*'الافتراضات'!$C$101),0)</f>
        <v/>
      </c>
      <c r="AR124" s="45">
        <f>IF(AR7&gt;=0,MAX(INDEX('الافتراضات'!$C$99:$G$99,AR$9)*MAX(1,AR94),AR75/30.4*'الافتراضات'!$C$101),0)</f>
        <v/>
      </c>
      <c r="AS124" s="45">
        <f>IF(AS7&gt;=0,MAX(INDEX('الافتراضات'!$C$99:$G$99,AS$9)*MAX(1,AS94),AS75/30.4*'الافتراضات'!$C$101),0)</f>
        <v/>
      </c>
      <c r="AT124" s="45">
        <f>IF(AT7&gt;=0,MAX(INDEX('الافتراضات'!$C$99:$G$99,AT$9)*MAX(1,AT94),AT75/30.4*'الافتراضات'!$C$101),0)</f>
        <v/>
      </c>
      <c r="AU124" s="45">
        <f>IF(AU7&gt;=0,MAX(INDEX('الافتراضات'!$C$99:$G$99,AU$9)*MAX(1,AU94),AU75/30.4*'الافتراضات'!$C$101),0)</f>
        <v/>
      </c>
      <c r="AV124" s="45">
        <f>IF(AV7&gt;=0,MAX(INDEX('الافتراضات'!$C$99:$G$99,AV$9)*MAX(1,AV94),AV75/30.4*'الافتراضات'!$C$101),0)</f>
        <v/>
      </c>
      <c r="AW124" s="45">
        <f>IF(AW7&gt;=0,MAX(INDEX('الافتراضات'!$C$99:$G$99,AW$9)*MAX(1,AW94),AW75/30.4*'الافتراضات'!$C$101),0)</f>
        <v/>
      </c>
      <c r="AX124" s="45">
        <f>IF(AX7&gt;=0,MAX(INDEX('الافتراضات'!$C$99:$G$99,AX$9)*MAX(1,AX94),AX75/30.4*'الافتراضات'!$C$101),0)</f>
        <v/>
      </c>
      <c r="AY124" s="45">
        <f>IF(AY7&gt;=0,MAX(INDEX('الافتراضات'!$C$99:$G$99,AY$9)*MAX(1,AY94),AY75/30.4*'الافتراضات'!$C$101),0)</f>
        <v/>
      </c>
      <c r="AZ124" s="45">
        <f>IF(AZ7&gt;=0,MAX(INDEX('الافتراضات'!$C$99:$G$99,AZ$9)*MAX(1,AZ94),AZ75/30.4*'الافتراضات'!$C$101),0)</f>
        <v/>
      </c>
      <c r="BA124" s="45">
        <f>IF(BA7&gt;=0,MAX(INDEX('الافتراضات'!$C$99:$G$99,BA$9)*MAX(1,BA94),BA75/30.4*'الافتراضات'!$C$101),0)</f>
        <v/>
      </c>
      <c r="BB124" s="45">
        <f>IF(BB7&gt;=0,MAX(INDEX('الافتراضات'!$C$99:$G$99,BB$9)*MAX(1,BB94),BB75/30.4*'الافتراضات'!$C$101),0)</f>
        <v/>
      </c>
      <c r="BC124" s="45">
        <f>IF(BC7&gt;=0,MAX(INDEX('الافتراضات'!$C$99:$G$99,BC$9)*MAX(1,BC94),BC75/30.4*'الافتراضات'!$C$101),0)</f>
        <v/>
      </c>
      <c r="BD124" s="45">
        <f>IF(BD7&gt;=0,MAX(INDEX('الافتراضات'!$C$99:$G$99,BD$9)*MAX(1,BD94),BD75/30.4*'الافتراضات'!$C$101),0)</f>
        <v/>
      </c>
      <c r="BE124" s="45">
        <f>IF(BE7&gt;=0,MAX(INDEX('الافتراضات'!$C$99:$G$99,BE$9)*MAX(1,BE94),BE75/30.4*'الافتراضات'!$C$101),0)</f>
        <v/>
      </c>
      <c r="BF124" s="45">
        <f>IF(BF7&gt;=0,MAX(INDEX('الافتراضات'!$C$99:$G$99,BF$9)*MAX(1,BF94),BF75/30.4*'الافتراضات'!$C$101),0)</f>
        <v/>
      </c>
      <c r="BG124" s="45">
        <f>IF(BG7&gt;=0,MAX(INDEX('الافتراضات'!$C$99:$G$99,BG$9)*MAX(1,BG94),BG75/30.4*'الافتراضات'!$C$101),0)</f>
        <v/>
      </c>
      <c r="BH124" s="45">
        <f>IF(BH7&gt;=0,MAX(INDEX('الافتراضات'!$C$99:$G$99,BH$9)*MAX(1,BH94),BH75/30.4*'الافتراضات'!$C$101),0)</f>
        <v/>
      </c>
      <c r="BI124" s="45">
        <f>IF(BI7&gt;=0,MAX(INDEX('الافتراضات'!$C$99:$G$99,BI$9)*MAX(1,BI94),BI75/30.4*'الافتراضات'!$C$101),0)</f>
        <v/>
      </c>
      <c r="BJ124" s="45">
        <f>IF(BJ7&gt;=0,MAX(INDEX('الافتراضات'!$C$99:$G$99,BJ$9)*MAX(1,BJ94),BJ75/30.4*'الافتراضات'!$C$101),0)</f>
        <v/>
      </c>
      <c r="BK124" s="45">
        <f>IF(BK7&gt;=0,MAX(INDEX('الافتراضات'!$C$99:$G$99,BK$9)*MAX(1,BK94),BK75/30.4*'الافتراضات'!$C$101),0)</f>
        <v/>
      </c>
      <c r="BL124" s="45">
        <f>IF(BL7&gt;=0,MAX(INDEX('الافتراضات'!$C$99:$G$99,BL$9)*MAX(1,BL94),BL75/30.4*'الافتراضات'!$C$101),0)</f>
        <v/>
      </c>
      <c r="BM124" s="45">
        <f>IF(BM7&gt;=0,MAX(INDEX('الافتراضات'!$C$99:$G$99,BM$9)*MAX(1,BM94),BM75/30.4*'الافتراضات'!$C$101),0)</f>
        <v/>
      </c>
    </row>
    <row r="125">
      <c r="A125" s="4" t="inlineStr">
        <is>
          <t>مستحقات الموردين</t>
        </is>
      </c>
      <c r="B125" s="22" t="inlineStr">
        <is>
          <t>ج.م</t>
        </is>
      </c>
      <c r="C125" s="45">
        <f>C75/30.4*'الافتراضات'!$C$102</f>
        <v/>
      </c>
      <c r="D125" s="45">
        <f>D75/30.4*'الافتراضات'!$C$102</f>
        <v/>
      </c>
      <c r="E125" s="45">
        <f>E75/30.4*'الافتراضات'!$C$102</f>
        <v/>
      </c>
      <c r="F125" s="45">
        <f>F75/30.4*'الافتراضات'!$C$102</f>
        <v/>
      </c>
      <c r="G125" s="45">
        <f>G75/30.4*'الافتراضات'!$C$102</f>
        <v/>
      </c>
      <c r="H125" s="45">
        <f>H75/30.4*'الافتراضات'!$C$102</f>
        <v/>
      </c>
      <c r="I125" s="45">
        <f>I75/30.4*'الافتراضات'!$C$102</f>
        <v/>
      </c>
      <c r="J125" s="45">
        <f>J75/30.4*'الافتراضات'!$C$102</f>
        <v/>
      </c>
      <c r="K125" s="45">
        <f>K75/30.4*'الافتراضات'!$C$102</f>
        <v/>
      </c>
      <c r="L125" s="45">
        <f>L75/30.4*'الافتراضات'!$C$102</f>
        <v/>
      </c>
      <c r="M125" s="45">
        <f>M75/30.4*'الافتراضات'!$C$102</f>
        <v/>
      </c>
      <c r="N125" s="45">
        <f>N75/30.4*'الافتراضات'!$C$102</f>
        <v/>
      </c>
      <c r="O125" s="45">
        <f>O75/30.4*'الافتراضات'!$C$102</f>
        <v/>
      </c>
      <c r="P125" s="45">
        <f>P75/30.4*'الافتراضات'!$C$102</f>
        <v/>
      </c>
      <c r="Q125" s="45">
        <f>Q75/30.4*'الافتراضات'!$C$102</f>
        <v/>
      </c>
      <c r="R125" s="45">
        <f>R75/30.4*'الافتراضات'!$C$102</f>
        <v/>
      </c>
      <c r="S125" s="45">
        <f>S75/30.4*'الافتراضات'!$C$102</f>
        <v/>
      </c>
      <c r="T125" s="45">
        <f>T75/30.4*'الافتراضات'!$C$102</f>
        <v/>
      </c>
      <c r="U125" s="45">
        <f>U75/30.4*'الافتراضات'!$C$102</f>
        <v/>
      </c>
      <c r="V125" s="45">
        <f>V75/30.4*'الافتراضات'!$C$102</f>
        <v/>
      </c>
      <c r="W125" s="45">
        <f>W75/30.4*'الافتراضات'!$C$102</f>
        <v/>
      </c>
      <c r="X125" s="45">
        <f>X75/30.4*'الافتراضات'!$C$102</f>
        <v/>
      </c>
      <c r="Y125" s="45">
        <f>Y75/30.4*'الافتراضات'!$C$102</f>
        <v/>
      </c>
      <c r="Z125" s="45">
        <f>Z75/30.4*'الافتراضات'!$C$102</f>
        <v/>
      </c>
      <c r="AA125" s="45">
        <f>AA75/30.4*'الافتراضات'!$C$102</f>
        <v/>
      </c>
      <c r="AB125" s="45">
        <f>AB75/30.4*'الافتراضات'!$C$102</f>
        <v/>
      </c>
      <c r="AC125" s="45">
        <f>AC75/30.4*'الافتراضات'!$C$102</f>
        <v/>
      </c>
      <c r="AD125" s="45">
        <f>AD75/30.4*'الافتراضات'!$C$102</f>
        <v/>
      </c>
      <c r="AE125" s="45">
        <f>AE75/30.4*'الافتراضات'!$C$102</f>
        <v/>
      </c>
      <c r="AF125" s="45">
        <f>AF75/30.4*'الافتراضات'!$C$102</f>
        <v/>
      </c>
      <c r="AG125" s="45">
        <f>AG75/30.4*'الافتراضات'!$C$102</f>
        <v/>
      </c>
      <c r="AH125" s="45">
        <f>AH75/30.4*'الافتراضات'!$C$102</f>
        <v/>
      </c>
      <c r="AI125" s="45">
        <f>AI75/30.4*'الافتراضات'!$C$102</f>
        <v/>
      </c>
      <c r="AJ125" s="45">
        <f>AJ75/30.4*'الافتراضات'!$C$102</f>
        <v/>
      </c>
      <c r="AK125" s="45">
        <f>AK75/30.4*'الافتراضات'!$C$102</f>
        <v/>
      </c>
      <c r="AL125" s="45">
        <f>AL75/30.4*'الافتراضات'!$C$102</f>
        <v/>
      </c>
      <c r="AM125" s="45">
        <f>AM75/30.4*'الافتراضات'!$C$102</f>
        <v/>
      </c>
      <c r="AN125" s="45">
        <f>AN75/30.4*'الافتراضات'!$C$102</f>
        <v/>
      </c>
      <c r="AO125" s="45">
        <f>AO75/30.4*'الافتراضات'!$C$102</f>
        <v/>
      </c>
      <c r="AP125" s="45">
        <f>AP75/30.4*'الافتراضات'!$C$102</f>
        <v/>
      </c>
      <c r="AQ125" s="45">
        <f>AQ75/30.4*'الافتراضات'!$C$102</f>
        <v/>
      </c>
      <c r="AR125" s="45">
        <f>AR75/30.4*'الافتراضات'!$C$102</f>
        <v/>
      </c>
      <c r="AS125" s="45">
        <f>AS75/30.4*'الافتراضات'!$C$102</f>
        <v/>
      </c>
      <c r="AT125" s="45">
        <f>AT75/30.4*'الافتراضات'!$C$102</f>
        <v/>
      </c>
      <c r="AU125" s="45">
        <f>AU75/30.4*'الافتراضات'!$C$102</f>
        <v/>
      </c>
      <c r="AV125" s="45">
        <f>AV75/30.4*'الافتراضات'!$C$102</f>
        <v/>
      </c>
      <c r="AW125" s="45">
        <f>AW75/30.4*'الافتراضات'!$C$102</f>
        <v/>
      </c>
      <c r="AX125" s="45">
        <f>AX75/30.4*'الافتراضات'!$C$102</f>
        <v/>
      </c>
      <c r="AY125" s="45">
        <f>AY75/30.4*'الافتراضات'!$C$102</f>
        <v/>
      </c>
      <c r="AZ125" s="45">
        <f>AZ75/30.4*'الافتراضات'!$C$102</f>
        <v/>
      </c>
      <c r="BA125" s="45">
        <f>BA75/30.4*'الافتراضات'!$C$102</f>
        <v/>
      </c>
      <c r="BB125" s="45">
        <f>BB75/30.4*'الافتراضات'!$C$102</f>
        <v/>
      </c>
      <c r="BC125" s="45">
        <f>BC75/30.4*'الافتراضات'!$C$102</f>
        <v/>
      </c>
      <c r="BD125" s="45">
        <f>BD75/30.4*'الافتراضات'!$C$102</f>
        <v/>
      </c>
      <c r="BE125" s="45">
        <f>BE75/30.4*'الافتراضات'!$C$102</f>
        <v/>
      </c>
      <c r="BF125" s="45">
        <f>BF75/30.4*'الافتراضات'!$C$102</f>
        <v/>
      </c>
      <c r="BG125" s="45">
        <f>BG75/30.4*'الافتراضات'!$C$102</f>
        <v/>
      </c>
      <c r="BH125" s="45">
        <f>BH75/30.4*'الافتراضات'!$C$102</f>
        <v/>
      </c>
      <c r="BI125" s="45">
        <f>BI75/30.4*'الافتراضات'!$C$102</f>
        <v/>
      </c>
      <c r="BJ125" s="45">
        <f>BJ75/30.4*'الافتراضات'!$C$102</f>
        <v/>
      </c>
      <c r="BK125" s="45">
        <f>BK75/30.4*'الافتراضات'!$C$102</f>
        <v/>
      </c>
      <c r="BL125" s="45">
        <f>BL75/30.4*'الافتراضات'!$C$102</f>
        <v/>
      </c>
      <c r="BM125" s="45">
        <f>BM75/30.4*'الافتراضات'!$C$102</f>
        <v/>
      </c>
    </row>
    <row r="126">
      <c r="A126" s="4" t="inlineStr">
        <is>
          <t>مستحقات التجار والمطاعم</t>
        </is>
      </c>
      <c r="B126" s="22" t="inlineStr">
        <is>
          <t>ج.م</t>
        </is>
      </c>
      <c r="C126" s="45">
        <f>(C60-C65+C61-C66)/30.4*'الافتراضات'!$C$103</f>
        <v/>
      </c>
      <c r="D126" s="45">
        <f>(D60-D65+D61-D66)/30.4*'الافتراضات'!$C$103</f>
        <v/>
      </c>
      <c r="E126" s="45">
        <f>(E60-E65+E61-E66)/30.4*'الافتراضات'!$C$103</f>
        <v/>
      </c>
      <c r="F126" s="45">
        <f>(F60-F65+F61-F66)/30.4*'الافتراضات'!$C$103</f>
        <v/>
      </c>
      <c r="G126" s="45">
        <f>(G60-G65+G61-G66)/30.4*'الافتراضات'!$C$103</f>
        <v/>
      </c>
      <c r="H126" s="45">
        <f>(H60-H65+H61-H66)/30.4*'الافتراضات'!$C$103</f>
        <v/>
      </c>
      <c r="I126" s="45">
        <f>(I60-I65+I61-I66)/30.4*'الافتراضات'!$C$103</f>
        <v/>
      </c>
      <c r="J126" s="45">
        <f>(J60-J65+J61-J66)/30.4*'الافتراضات'!$C$103</f>
        <v/>
      </c>
      <c r="K126" s="45">
        <f>(K60-K65+K61-K66)/30.4*'الافتراضات'!$C$103</f>
        <v/>
      </c>
      <c r="L126" s="45">
        <f>(L60-L65+L61-L66)/30.4*'الافتراضات'!$C$103</f>
        <v/>
      </c>
      <c r="M126" s="45">
        <f>(M60-M65+M61-M66)/30.4*'الافتراضات'!$C$103</f>
        <v/>
      </c>
      <c r="N126" s="45">
        <f>(N60-N65+N61-N66)/30.4*'الافتراضات'!$C$103</f>
        <v/>
      </c>
      <c r="O126" s="45">
        <f>(O60-O65+O61-O66)/30.4*'الافتراضات'!$C$103</f>
        <v/>
      </c>
      <c r="P126" s="45">
        <f>(P60-P65+P61-P66)/30.4*'الافتراضات'!$C$103</f>
        <v/>
      </c>
      <c r="Q126" s="45">
        <f>(Q60-Q65+Q61-Q66)/30.4*'الافتراضات'!$C$103</f>
        <v/>
      </c>
      <c r="R126" s="45">
        <f>(R60-R65+R61-R66)/30.4*'الافتراضات'!$C$103</f>
        <v/>
      </c>
      <c r="S126" s="45">
        <f>(S60-S65+S61-S66)/30.4*'الافتراضات'!$C$103</f>
        <v/>
      </c>
      <c r="T126" s="45">
        <f>(T60-T65+T61-T66)/30.4*'الافتراضات'!$C$103</f>
        <v/>
      </c>
      <c r="U126" s="45">
        <f>(U60-U65+U61-U66)/30.4*'الافتراضات'!$C$103</f>
        <v/>
      </c>
      <c r="V126" s="45">
        <f>(V60-V65+V61-V66)/30.4*'الافتراضات'!$C$103</f>
        <v/>
      </c>
      <c r="W126" s="45">
        <f>(W60-W65+W61-W66)/30.4*'الافتراضات'!$C$103</f>
        <v/>
      </c>
      <c r="X126" s="45">
        <f>(X60-X65+X61-X66)/30.4*'الافتراضات'!$C$103</f>
        <v/>
      </c>
      <c r="Y126" s="45">
        <f>(Y60-Y65+Y61-Y66)/30.4*'الافتراضات'!$C$103</f>
        <v/>
      </c>
      <c r="Z126" s="45">
        <f>(Z60-Z65+Z61-Z66)/30.4*'الافتراضات'!$C$103</f>
        <v/>
      </c>
      <c r="AA126" s="45">
        <f>(AA60-AA65+AA61-AA66)/30.4*'الافتراضات'!$C$103</f>
        <v/>
      </c>
      <c r="AB126" s="45">
        <f>(AB60-AB65+AB61-AB66)/30.4*'الافتراضات'!$C$103</f>
        <v/>
      </c>
      <c r="AC126" s="45">
        <f>(AC60-AC65+AC61-AC66)/30.4*'الافتراضات'!$C$103</f>
        <v/>
      </c>
      <c r="AD126" s="45">
        <f>(AD60-AD65+AD61-AD66)/30.4*'الافتراضات'!$C$103</f>
        <v/>
      </c>
      <c r="AE126" s="45">
        <f>(AE60-AE65+AE61-AE66)/30.4*'الافتراضات'!$C$103</f>
        <v/>
      </c>
      <c r="AF126" s="45">
        <f>(AF60-AF65+AF61-AF66)/30.4*'الافتراضات'!$C$103</f>
        <v/>
      </c>
      <c r="AG126" s="45">
        <f>(AG60-AG65+AG61-AG66)/30.4*'الافتراضات'!$C$103</f>
        <v/>
      </c>
      <c r="AH126" s="45">
        <f>(AH60-AH65+AH61-AH66)/30.4*'الافتراضات'!$C$103</f>
        <v/>
      </c>
      <c r="AI126" s="45">
        <f>(AI60-AI65+AI61-AI66)/30.4*'الافتراضات'!$C$103</f>
        <v/>
      </c>
      <c r="AJ126" s="45">
        <f>(AJ60-AJ65+AJ61-AJ66)/30.4*'الافتراضات'!$C$103</f>
        <v/>
      </c>
      <c r="AK126" s="45">
        <f>(AK60-AK65+AK61-AK66)/30.4*'الافتراضات'!$C$103</f>
        <v/>
      </c>
      <c r="AL126" s="45">
        <f>(AL60-AL65+AL61-AL66)/30.4*'الافتراضات'!$C$103</f>
        <v/>
      </c>
      <c r="AM126" s="45">
        <f>(AM60-AM65+AM61-AM66)/30.4*'الافتراضات'!$C$103</f>
        <v/>
      </c>
      <c r="AN126" s="45">
        <f>(AN60-AN65+AN61-AN66)/30.4*'الافتراضات'!$C$103</f>
        <v/>
      </c>
      <c r="AO126" s="45">
        <f>(AO60-AO65+AO61-AO66)/30.4*'الافتراضات'!$C$103</f>
        <v/>
      </c>
      <c r="AP126" s="45">
        <f>(AP60-AP65+AP61-AP66)/30.4*'الافتراضات'!$C$103</f>
        <v/>
      </c>
      <c r="AQ126" s="45">
        <f>(AQ60-AQ65+AQ61-AQ66)/30.4*'الافتراضات'!$C$103</f>
        <v/>
      </c>
      <c r="AR126" s="45">
        <f>(AR60-AR65+AR61-AR66)/30.4*'الافتراضات'!$C$103</f>
        <v/>
      </c>
      <c r="AS126" s="45">
        <f>(AS60-AS65+AS61-AS66)/30.4*'الافتراضات'!$C$103</f>
        <v/>
      </c>
      <c r="AT126" s="45">
        <f>(AT60-AT65+AT61-AT66)/30.4*'الافتراضات'!$C$103</f>
        <v/>
      </c>
      <c r="AU126" s="45">
        <f>(AU60-AU65+AU61-AU66)/30.4*'الافتراضات'!$C$103</f>
        <v/>
      </c>
      <c r="AV126" s="45">
        <f>(AV60-AV65+AV61-AV66)/30.4*'الافتراضات'!$C$103</f>
        <v/>
      </c>
      <c r="AW126" s="45">
        <f>(AW60-AW65+AW61-AW66)/30.4*'الافتراضات'!$C$103</f>
        <v/>
      </c>
      <c r="AX126" s="45">
        <f>(AX60-AX65+AX61-AX66)/30.4*'الافتراضات'!$C$103</f>
        <v/>
      </c>
      <c r="AY126" s="45">
        <f>(AY60-AY65+AY61-AY66)/30.4*'الافتراضات'!$C$103</f>
        <v/>
      </c>
      <c r="AZ126" s="45">
        <f>(AZ60-AZ65+AZ61-AZ66)/30.4*'الافتراضات'!$C$103</f>
        <v/>
      </c>
      <c r="BA126" s="45">
        <f>(BA60-BA65+BA61-BA66)/30.4*'الافتراضات'!$C$103</f>
        <v/>
      </c>
      <c r="BB126" s="45">
        <f>(BB60-BB65+BB61-BB66)/30.4*'الافتراضات'!$C$103</f>
        <v/>
      </c>
      <c r="BC126" s="45">
        <f>(BC60-BC65+BC61-BC66)/30.4*'الافتراضات'!$C$103</f>
        <v/>
      </c>
      <c r="BD126" s="45">
        <f>(BD60-BD65+BD61-BD66)/30.4*'الافتراضات'!$C$103</f>
        <v/>
      </c>
      <c r="BE126" s="45">
        <f>(BE60-BE65+BE61-BE66)/30.4*'الافتراضات'!$C$103</f>
        <v/>
      </c>
      <c r="BF126" s="45">
        <f>(BF60-BF65+BF61-BF66)/30.4*'الافتراضات'!$C$103</f>
        <v/>
      </c>
      <c r="BG126" s="45">
        <f>(BG60-BG65+BG61-BG66)/30.4*'الافتراضات'!$C$103</f>
        <v/>
      </c>
      <c r="BH126" s="45">
        <f>(BH60-BH65+BH61-BH66)/30.4*'الافتراضات'!$C$103</f>
        <v/>
      </c>
      <c r="BI126" s="45">
        <f>(BI60-BI65+BI61-BI66)/30.4*'الافتراضات'!$C$103</f>
        <v/>
      </c>
      <c r="BJ126" s="45">
        <f>(BJ60-BJ65+BJ61-BJ66)/30.4*'الافتراضات'!$C$103</f>
        <v/>
      </c>
      <c r="BK126" s="45">
        <f>(BK60-BK65+BK61-BK66)/30.4*'الافتراضات'!$C$103</f>
        <v/>
      </c>
      <c r="BL126" s="45">
        <f>(BL60-BL65+BL61-BL66)/30.4*'الافتراضات'!$C$103</f>
        <v/>
      </c>
      <c r="BM126" s="45">
        <f>(BM60-BM65+BM61-BM66)/30.4*'الافتراضات'!$C$103</f>
        <v/>
      </c>
    </row>
    <row r="127">
      <c r="A127" s="4" t="inlineStr">
        <is>
          <t>صافي رأس المال العامل</t>
        </is>
      </c>
      <c r="B127" s="22" t="inlineStr">
        <is>
          <t>ج.م</t>
        </is>
      </c>
      <c r="C127" s="45">
        <f>C124-C125-C126</f>
        <v/>
      </c>
      <c r="D127" s="45">
        <f>D124-D125-D126</f>
        <v/>
      </c>
      <c r="E127" s="45">
        <f>E124-E125-E126</f>
        <v/>
      </c>
      <c r="F127" s="45">
        <f>F124-F125-F126</f>
        <v/>
      </c>
      <c r="G127" s="45">
        <f>G124-G125-G126</f>
        <v/>
      </c>
      <c r="H127" s="45">
        <f>H124-H125-H126</f>
        <v/>
      </c>
      <c r="I127" s="45">
        <f>I124-I125-I126</f>
        <v/>
      </c>
      <c r="J127" s="45">
        <f>J124-J125-J126</f>
        <v/>
      </c>
      <c r="K127" s="45">
        <f>K124-K125-K126</f>
        <v/>
      </c>
      <c r="L127" s="45">
        <f>L124-L125-L126</f>
        <v/>
      </c>
      <c r="M127" s="45">
        <f>M124-M125-M126</f>
        <v/>
      </c>
      <c r="N127" s="45">
        <f>N124-N125-N126</f>
        <v/>
      </c>
      <c r="O127" s="45">
        <f>O124-O125-O126</f>
        <v/>
      </c>
      <c r="P127" s="45">
        <f>P124-P125-P126</f>
        <v/>
      </c>
      <c r="Q127" s="45">
        <f>Q124-Q125-Q126</f>
        <v/>
      </c>
      <c r="R127" s="45">
        <f>R124-R125-R126</f>
        <v/>
      </c>
      <c r="S127" s="45">
        <f>S124-S125-S126</f>
        <v/>
      </c>
      <c r="T127" s="45">
        <f>T124-T125-T126</f>
        <v/>
      </c>
      <c r="U127" s="45">
        <f>U124-U125-U126</f>
        <v/>
      </c>
      <c r="V127" s="45">
        <f>V124-V125-V126</f>
        <v/>
      </c>
      <c r="W127" s="45">
        <f>W124-W125-W126</f>
        <v/>
      </c>
      <c r="X127" s="45">
        <f>X124-X125-X126</f>
        <v/>
      </c>
      <c r="Y127" s="45">
        <f>Y124-Y125-Y126</f>
        <v/>
      </c>
      <c r="Z127" s="45">
        <f>Z124-Z125-Z126</f>
        <v/>
      </c>
      <c r="AA127" s="45">
        <f>AA124-AA125-AA126</f>
        <v/>
      </c>
      <c r="AB127" s="45">
        <f>AB124-AB125-AB126</f>
        <v/>
      </c>
      <c r="AC127" s="45">
        <f>AC124-AC125-AC126</f>
        <v/>
      </c>
      <c r="AD127" s="45">
        <f>AD124-AD125-AD126</f>
        <v/>
      </c>
      <c r="AE127" s="45">
        <f>AE124-AE125-AE126</f>
        <v/>
      </c>
      <c r="AF127" s="45">
        <f>AF124-AF125-AF126</f>
        <v/>
      </c>
      <c r="AG127" s="45">
        <f>AG124-AG125-AG126</f>
        <v/>
      </c>
      <c r="AH127" s="45">
        <f>AH124-AH125-AH126</f>
        <v/>
      </c>
      <c r="AI127" s="45">
        <f>AI124-AI125-AI126</f>
        <v/>
      </c>
      <c r="AJ127" s="45">
        <f>AJ124-AJ125-AJ126</f>
        <v/>
      </c>
      <c r="AK127" s="45">
        <f>AK124-AK125-AK126</f>
        <v/>
      </c>
      <c r="AL127" s="45">
        <f>AL124-AL125-AL126</f>
        <v/>
      </c>
      <c r="AM127" s="45">
        <f>AM124-AM125-AM126</f>
        <v/>
      </c>
      <c r="AN127" s="45">
        <f>AN124-AN125-AN126</f>
        <v/>
      </c>
      <c r="AO127" s="45">
        <f>AO124-AO125-AO126</f>
        <v/>
      </c>
      <c r="AP127" s="45">
        <f>AP124-AP125-AP126</f>
        <v/>
      </c>
      <c r="AQ127" s="45">
        <f>AQ124-AQ125-AQ126</f>
        <v/>
      </c>
      <c r="AR127" s="45">
        <f>AR124-AR125-AR126</f>
        <v/>
      </c>
      <c r="AS127" s="45">
        <f>AS124-AS125-AS126</f>
        <v/>
      </c>
      <c r="AT127" s="45">
        <f>AT124-AT125-AT126</f>
        <v/>
      </c>
      <c r="AU127" s="45">
        <f>AU124-AU125-AU126</f>
        <v/>
      </c>
      <c r="AV127" s="45">
        <f>AV124-AV125-AV126</f>
        <v/>
      </c>
      <c r="AW127" s="45">
        <f>AW124-AW125-AW126</f>
        <v/>
      </c>
      <c r="AX127" s="45">
        <f>AX124-AX125-AX126</f>
        <v/>
      </c>
      <c r="AY127" s="45">
        <f>AY124-AY125-AY126</f>
        <v/>
      </c>
      <c r="AZ127" s="45">
        <f>AZ124-AZ125-AZ126</f>
        <v/>
      </c>
      <c r="BA127" s="45">
        <f>BA124-BA125-BA126</f>
        <v/>
      </c>
      <c r="BB127" s="45">
        <f>BB124-BB125-BB126</f>
        <v/>
      </c>
      <c r="BC127" s="45">
        <f>BC124-BC125-BC126</f>
        <v/>
      </c>
      <c r="BD127" s="45">
        <f>BD124-BD125-BD126</f>
        <v/>
      </c>
      <c r="BE127" s="45">
        <f>BE124-BE125-BE126</f>
        <v/>
      </c>
      <c r="BF127" s="45">
        <f>BF124-BF125-BF126</f>
        <v/>
      </c>
      <c r="BG127" s="45">
        <f>BG124-BG125-BG126</f>
        <v/>
      </c>
      <c r="BH127" s="45">
        <f>BH124-BH125-BH126</f>
        <v/>
      </c>
      <c r="BI127" s="45">
        <f>BI124-BI125-BI126</f>
        <v/>
      </c>
      <c r="BJ127" s="45">
        <f>BJ124-BJ125-BJ126</f>
        <v/>
      </c>
      <c r="BK127" s="45">
        <f>BK124-BK125-BK126</f>
        <v/>
      </c>
      <c r="BL127" s="45">
        <f>BL124-BL125-BL126</f>
        <v/>
      </c>
      <c r="BM127" s="45">
        <f>BM124-BM125-BM126</f>
        <v/>
      </c>
    </row>
    <row r="128">
      <c r="A128" s="4" t="inlineStr">
        <is>
          <t>التغير في رأس المال العامل</t>
        </is>
      </c>
      <c r="B128" s="22" t="inlineStr">
        <is>
          <t>ج.م</t>
        </is>
      </c>
      <c r="C128" s="45">
        <f>C127</f>
        <v/>
      </c>
      <c r="D128" s="45">
        <f>D127-C127</f>
        <v/>
      </c>
      <c r="E128" s="45">
        <f>E127-D127</f>
        <v/>
      </c>
      <c r="F128" s="45">
        <f>F127-E127</f>
        <v/>
      </c>
      <c r="G128" s="45">
        <f>G127-F127</f>
        <v/>
      </c>
      <c r="H128" s="45">
        <f>H127-G127</f>
        <v/>
      </c>
      <c r="I128" s="45">
        <f>I127-H127</f>
        <v/>
      </c>
      <c r="J128" s="45">
        <f>J127-I127</f>
        <v/>
      </c>
      <c r="K128" s="45">
        <f>K127-J127</f>
        <v/>
      </c>
      <c r="L128" s="45">
        <f>L127-K127</f>
        <v/>
      </c>
      <c r="M128" s="45">
        <f>M127-L127</f>
        <v/>
      </c>
      <c r="N128" s="45">
        <f>N127-M127</f>
        <v/>
      </c>
      <c r="O128" s="45">
        <f>O127-N127</f>
        <v/>
      </c>
      <c r="P128" s="45">
        <f>P127-O127</f>
        <v/>
      </c>
      <c r="Q128" s="45">
        <f>Q127-P127</f>
        <v/>
      </c>
      <c r="R128" s="45">
        <f>R127-Q127</f>
        <v/>
      </c>
      <c r="S128" s="45">
        <f>S127-R127</f>
        <v/>
      </c>
      <c r="T128" s="45">
        <f>T127-S127</f>
        <v/>
      </c>
      <c r="U128" s="45">
        <f>U127-T127</f>
        <v/>
      </c>
      <c r="V128" s="45">
        <f>V127-U127</f>
        <v/>
      </c>
      <c r="W128" s="45">
        <f>W127-V127</f>
        <v/>
      </c>
      <c r="X128" s="45">
        <f>X127-W127</f>
        <v/>
      </c>
      <c r="Y128" s="45">
        <f>Y127-X127</f>
        <v/>
      </c>
      <c r="Z128" s="45">
        <f>Z127-Y127</f>
        <v/>
      </c>
      <c r="AA128" s="45">
        <f>AA127-Z127</f>
        <v/>
      </c>
      <c r="AB128" s="45">
        <f>AB127-AA127</f>
        <v/>
      </c>
      <c r="AC128" s="45">
        <f>AC127-AB127</f>
        <v/>
      </c>
      <c r="AD128" s="45">
        <f>AD127-AC127</f>
        <v/>
      </c>
      <c r="AE128" s="45">
        <f>AE127-AD127</f>
        <v/>
      </c>
      <c r="AF128" s="45">
        <f>AF127-AE127</f>
        <v/>
      </c>
      <c r="AG128" s="45">
        <f>AG127-AF127</f>
        <v/>
      </c>
      <c r="AH128" s="45">
        <f>AH127-AG127</f>
        <v/>
      </c>
      <c r="AI128" s="45">
        <f>AI127-AH127</f>
        <v/>
      </c>
      <c r="AJ128" s="45">
        <f>AJ127-AI127</f>
        <v/>
      </c>
      <c r="AK128" s="45">
        <f>AK127-AJ127</f>
        <v/>
      </c>
      <c r="AL128" s="45">
        <f>AL127-AK127</f>
        <v/>
      </c>
      <c r="AM128" s="45">
        <f>AM127-AL127</f>
        <v/>
      </c>
      <c r="AN128" s="45">
        <f>AN127-AM127</f>
        <v/>
      </c>
      <c r="AO128" s="45">
        <f>AO127-AN127</f>
        <v/>
      </c>
      <c r="AP128" s="45">
        <f>AP127-AO127</f>
        <v/>
      </c>
      <c r="AQ128" s="45">
        <f>AQ127-AP127</f>
        <v/>
      </c>
      <c r="AR128" s="45">
        <f>AR127-AQ127</f>
        <v/>
      </c>
      <c r="AS128" s="45">
        <f>AS127-AR127</f>
        <v/>
      </c>
      <c r="AT128" s="45">
        <f>AT127-AS127</f>
        <v/>
      </c>
      <c r="AU128" s="45">
        <f>AU127-AT127</f>
        <v/>
      </c>
      <c r="AV128" s="45">
        <f>AV127-AU127</f>
        <v/>
      </c>
      <c r="AW128" s="45">
        <f>AW127-AV127</f>
        <v/>
      </c>
      <c r="AX128" s="45">
        <f>AX127-AW127</f>
        <v/>
      </c>
      <c r="AY128" s="45">
        <f>AY127-AX127</f>
        <v/>
      </c>
      <c r="AZ128" s="45">
        <f>AZ127-AY127</f>
        <v/>
      </c>
      <c r="BA128" s="45">
        <f>BA127-AZ127</f>
        <v/>
      </c>
      <c r="BB128" s="45">
        <f>BB127-BA127</f>
        <v/>
      </c>
      <c r="BC128" s="45">
        <f>BC127-BB127</f>
        <v/>
      </c>
      <c r="BD128" s="45">
        <f>BD127-BC127</f>
        <v/>
      </c>
      <c r="BE128" s="45">
        <f>BE127-BD127</f>
        <v/>
      </c>
      <c r="BF128" s="45">
        <f>BF127-BE127</f>
        <v/>
      </c>
      <c r="BG128" s="45">
        <f>BG127-BF127</f>
        <v/>
      </c>
      <c r="BH128" s="45">
        <f>BH127-BG127</f>
        <v/>
      </c>
      <c r="BI128" s="45">
        <f>BI127-BH127</f>
        <v/>
      </c>
      <c r="BJ128" s="45">
        <f>BJ127-BI127</f>
        <v/>
      </c>
      <c r="BK128" s="45">
        <f>BK127-BJ127</f>
        <v/>
      </c>
      <c r="BL128" s="45">
        <f>BL127-BK127</f>
        <v/>
      </c>
      <c r="BM128" s="45">
        <f>BM127-BL127</f>
        <v/>
      </c>
    </row>
    <row r="129">
      <c r="A129" s="4" t="inlineStr">
        <is>
          <t>التدفق النقدي التشغيلي</t>
        </is>
      </c>
      <c r="B129" s="22" t="inlineStr">
        <is>
          <t>ج.م</t>
        </is>
      </c>
      <c r="C129" s="45">
        <f>C105-C120-C128</f>
        <v/>
      </c>
      <c r="D129" s="45">
        <f>D105-D120-D128</f>
        <v/>
      </c>
      <c r="E129" s="45">
        <f>E105-E120-E128</f>
        <v/>
      </c>
      <c r="F129" s="45">
        <f>F105-F120-F128</f>
        <v/>
      </c>
      <c r="G129" s="45">
        <f>G105-G120-G128</f>
        <v/>
      </c>
      <c r="H129" s="45">
        <f>H105-H120-H128</f>
        <v/>
      </c>
      <c r="I129" s="45">
        <f>I105-I120-I128</f>
        <v/>
      </c>
      <c r="J129" s="45">
        <f>J105-J120-J128</f>
        <v/>
      </c>
      <c r="K129" s="45">
        <f>K105-K120-K128</f>
        <v/>
      </c>
      <c r="L129" s="45">
        <f>L105-L120-L128</f>
        <v/>
      </c>
      <c r="M129" s="45">
        <f>M105-M120-M128</f>
        <v/>
      </c>
      <c r="N129" s="45">
        <f>N105-N120-N128</f>
        <v/>
      </c>
      <c r="O129" s="45">
        <f>O105-O120-O128</f>
        <v/>
      </c>
      <c r="P129" s="45">
        <f>P105-P120-P128</f>
        <v/>
      </c>
      <c r="Q129" s="45">
        <f>Q105-Q120-Q128</f>
        <v/>
      </c>
      <c r="R129" s="45">
        <f>R105-R120-R128</f>
        <v/>
      </c>
      <c r="S129" s="45">
        <f>S105-S120-S128</f>
        <v/>
      </c>
      <c r="T129" s="45">
        <f>T105-T120-T128</f>
        <v/>
      </c>
      <c r="U129" s="45">
        <f>U105-U120-U128</f>
        <v/>
      </c>
      <c r="V129" s="45">
        <f>V105-V120-V128</f>
        <v/>
      </c>
      <c r="W129" s="45">
        <f>W105-W120-W128</f>
        <v/>
      </c>
      <c r="X129" s="45">
        <f>X105-X120-X128</f>
        <v/>
      </c>
      <c r="Y129" s="45">
        <f>Y105-Y120-Y128</f>
        <v/>
      </c>
      <c r="Z129" s="45">
        <f>Z105-Z120-Z128</f>
        <v/>
      </c>
      <c r="AA129" s="45">
        <f>AA105-AA120-AA128</f>
        <v/>
      </c>
      <c r="AB129" s="45">
        <f>AB105-AB120-AB128</f>
        <v/>
      </c>
      <c r="AC129" s="45">
        <f>AC105-AC120-AC128</f>
        <v/>
      </c>
      <c r="AD129" s="45">
        <f>AD105-AD120-AD128</f>
        <v/>
      </c>
      <c r="AE129" s="45">
        <f>AE105-AE120-AE128</f>
        <v/>
      </c>
      <c r="AF129" s="45">
        <f>AF105-AF120-AF128</f>
        <v/>
      </c>
      <c r="AG129" s="45">
        <f>AG105-AG120-AG128</f>
        <v/>
      </c>
      <c r="AH129" s="45">
        <f>AH105-AH120-AH128</f>
        <v/>
      </c>
      <c r="AI129" s="45">
        <f>AI105-AI120-AI128</f>
        <v/>
      </c>
      <c r="AJ129" s="45">
        <f>AJ105-AJ120-AJ128</f>
        <v/>
      </c>
      <c r="AK129" s="45">
        <f>AK105-AK120-AK128</f>
        <v/>
      </c>
      <c r="AL129" s="45">
        <f>AL105-AL120-AL128</f>
        <v/>
      </c>
      <c r="AM129" s="45">
        <f>AM105-AM120-AM128</f>
        <v/>
      </c>
      <c r="AN129" s="45">
        <f>AN105-AN120-AN128</f>
        <v/>
      </c>
      <c r="AO129" s="45">
        <f>AO105-AO120-AO128</f>
        <v/>
      </c>
      <c r="AP129" s="45">
        <f>AP105-AP120-AP128</f>
        <v/>
      </c>
      <c r="AQ129" s="45">
        <f>AQ105-AQ120-AQ128</f>
        <v/>
      </c>
      <c r="AR129" s="45">
        <f>AR105-AR120-AR128</f>
        <v/>
      </c>
      <c r="AS129" s="45">
        <f>AS105-AS120-AS128</f>
        <v/>
      </c>
      <c r="AT129" s="45">
        <f>AT105-AT120-AT128</f>
        <v/>
      </c>
      <c r="AU129" s="45">
        <f>AU105-AU120-AU128</f>
        <v/>
      </c>
      <c r="AV129" s="45">
        <f>AV105-AV120-AV128</f>
        <v/>
      </c>
      <c r="AW129" s="45">
        <f>AW105-AW120-AW128</f>
        <v/>
      </c>
      <c r="AX129" s="45">
        <f>AX105-AX120-AX128</f>
        <v/>
      </c>
      <c r="AY129" s="45">
        <f>AY105-AY120-AY128</f>
        <v/>
      </c>
      <c r="AZ129" s="45">
        <f>AZ105-AZ120-AZ128</f>
        <v/>
      </c>
      <c r="BA129" s="45">
        <f>BA105-BA120-BA128</f>
        <v/>
      </c>
      <c r="BB129" s="45">
        <f>BB105-BB120-BB128</f>
        <v/>
      </c>
      <c r="BC129" s="45">
        <f>BC105-BC120-BC128</f>
        <v/>
      </c>
      <c r="BD129" s="45">
        <f>BD105-BD120-BD128</f>
        <v/>
      </c>
      <c r="BE129" s="45">
        <f>BE105-BE120-BE128</f>
        <v/>
      </c>
      <c r="BF129" s="45">
        <f>BF105-BF120-BF128</f>
        <v/>
      </c>
      <c r="BG129" s="45">
        <f>BG105-BG120-BG128</f>
        <v/>
      </c>
      <c r="BH129" s="45">
        <f>BH105-BH120-BH128</f>
        <v/>
      </c>
      <c r="BI129" s="45">
        <f>BI105-BI120-BI128</f>
        <v/>
      </c>
      <c r="BJ129" s="45">
        <f>BJ105-BJ120-BJ128</f>
        <v/>
      </c>
      <c r="BK129" s="45">
        <f>BK105-BK120-BK128</f>
        <v/>
      </c>
      <c r="BL129" s="45">
        <f>BL105-BL120-BL128</f>
        <v/>
      </c>
      <c r="BM129" s="45">
        <f>BM105-BM120-BM128</f>
        <v/>
      </c>
    </row>
    <row r="130">
      <c r="A130" s="15" t="inlineStr">
        <is>
          <t>التدفق النقدي الحر</t>
        </is>
      </c>
      <c r="B130" s="22" t="inlineStr">
        <is>
          <t>ج.م</t>
        </is>
      </c>
      <c r="C130" s="45">
        <f>C129-C113</f>
        <v/>
      </c>
      <c r="D130" s="45">
        <f>D129-D113</f>
        <v/>
      </c>
      <c r="E130" s="45">
        <f>E129-E113</f>
        <v/>
      </c>
      <c r="F130" s="45">
        <f>F129-F113</f>
        <v/>
      </c>
      <c r="G130" s="45">
        <f>G129-G113</f>
        <v/>
      </c>
      <c r="H130" s="45">
        <f>H129-H113</f>
        <v/>
      </c>
      <c r="I130" s="45">
        <f>I129-I113</f>
        <v/>
      </c>
      <c r="J130" s="45">
        <f>J129-J113</f>
        <v/>
      </c>
      <c r="K130" s="45">
        <f>K129-K113</f>
        <v/>
      </c>
      <c r="L130" s="45">
        <f>L129-L113</f>
        <v/>
      </c>
      <c r="M130" s="45">
        <f>M129-M113</f>
        <v/>
      </c>
      <c r="N130" s="45">
        <f>N129-N113</f>
        <v/>
      </c>
      <c r="O130" s="45">
        <f>O129-O113</f>
        <v/>
      </c>
      <c r="P130" s="45">
        <f>P129-P113</f>
        <v/>
      </c>
      <c r="Q130" s="45">
        <f>Q129-Q113</f>
        <v/>
      </c>
      <c r="R130" s="45">
        <f>R129-R113</f>
        <v/>
      </c>
      <c r="S130" s="45">
        <f>S129-S113</f>
        <v/>
      </c>
      <c r="T130" s="45">
        <f>T129-T113</f>
        <v/>
      </c>
      <c r="U130" s="45">
        <f>U129-U113</f>
        <v/>
      </c>
      <c r="V130" s="45">
        <f>V129-V113</f>
        <v/>
      </c>
      <c r="W130" s="45">
        <f>W129-W113</f>
        <v/>
      </c>
      <c r="X130" s="45">
        <f>X129-X113</f>
        <v/>
      </c>
      <c r="Y130" s="45">
        <f>Y129-Y113</f>
        <v/>
      </c>
      <c r="Z130" s="45">
        <f>Z129-Z113</f>
        <v/>
      </c>
      <c r="AA130" s="45">
        <f>AA129-AA113</f>
        <v/>
      </c>
      <c r="AB130" s="45">
        <f>AB129-AB113</f>
        <v/>
      </c>
      <c r="AC130" s="45">
        <f>AC129-AC113</f>
        <v/>
      </c>
      <c r="AD130" s="45">
        <f>AD129-AD113</f>
        <v/>
      </c>
      <c r="AE130" s="45">
        <f>AE129-AE113</f>
        <v/>
      </c>
      <c r="AF130" s="45">
        <f>AF129-AF113</f>
        <v/>
      </c>
      <c r="AG130" s="45">
        <f>AG129-AG113</f>
        <v/>
      </c>
      <c r="AH130" s="45">
        <f>AH129-AH113</f>
        <v/>
      </c>
      <c r="AI130" s="45">
        <f>AI129-AI113</f>
        <v/>
      </c>
      <c r="AJ130" s="45">
        <f>AJ129-AJ113</f>
        <v/>
      </c>
      <c r="AK130" s="45">
        <f>AK129-AK113</f>
        <v/>
      </c>
      <c r="AL130" s="45">
        <f>AL129-AL113</f>
        <v/>
      </c>
      <c r="AM130" s="45">
        <f>AM129-AM113</f>
        <v/>
      </c>
      <c r="AN130" s="45">
        <f>AN129-AN113</f>
        <v/>
      </c>
      <c r="AO130" s="45">
        <f>AO129-AO113</f>
        <v/>
      </c>
      <c r="AP130" s="45">
        <f>AP129-AP113</f>
        <v/>
      </c>
      <c r="AQ130" s="45">
        <f>AQ129-AQ113</f>
        <v/>
      </c>
      <c r="AR130" s="45">
        <f>AR129-AR113</f>
        <v/>
      </c>
      <c r="AS130" s="45">
        <f>AS129-AS113</f>
        <v/>
      </c>
      <c r="AT130" s="45">
        <f>AT129-AT113</f>
        <v/>
      </c>
      <c r="AU130" s="45">
        <f>AU129-AU113</f>
        <v/>
      </c>
      <c r="AV130" s="45">
        <f>AV129-AV113</f>
        <v/>
      </c>
      <c r="AW130" s="45">
        <f>AW129-AW113</f>
        <v/>
      </c>
      <c r="AX130" s="45">
        <f>AX129-AX113</f>
        <v/>
      </c>
      <c r="AY130" s="45">
        <f>AY129-AY113</f>
        <v/>
      </c>
      <c r="AZ130" s="45">
        <f>AZ129-AZ113</f>
        <v/>
      </c>
      <c r="BA130" s="45">
        <f>BA129-BA113</f>
        <v/>
      </c>
      <c r="BB130" s="45">
        <f>BB129-BB113</f>
        <v/>
      </c>
      <c r="BC130" s="45">
        <f>BC129-BC113</f>
        <v/>
      </c>
      <c r="BD130" s="45">
        <f>BD129-BD113</f>
        <v/>
      </c>
      <c r="BE130" s="45">
        <f>BE129-BE113</f>
        <v/>
      </c>
      <c r="BF130" s="45">
        <f>BF129-BF113</f>
        <v/>
      </c>
      <c r="BG130" s="45">
        <f>BG129-BG113</f>
        <v/>
      </c>
      <c r="BH130" s="45">
        <f>BH129-BH113</f>
        <v/>
      </c>
      <c r="BI130" s="45">
        <f>BI129-BI113</f>
        <v/>
      </c>
      <c r="BJ130" s="45">
        <f>BJ129-BJ113</f>
        <v/>
      </c>
      <c r="BK130" s="45">
        <f>BK129-BK113</f>
        <v/>
      </c>
      <c r="BL130" s="45">
        <f>BL129-BL113</f>
        <v/>
      </c>
      <c r="BM130" s="45">
        <f>BM129-BM113</f>
        <v/>
      </c>
    </row>
    <row r="131">
      <c r="A131" s="4" t="inlineStr">
        <is>
          <t>التدفق النقدي الحر التراكمي (قبل التمويل)</t>
        </is>
      </c>
      <c r="B131" s="22" t="inlineStr">
        <is>
          <t>ج.م</t>
        </is>
      </c>
      <c r="C131" s="45">
        <f>C130</f>
        <v/>
      </c>
      <c r="D131" s="45">
        <f>C131+D130</f>
        <v/>
      </c>
      <c r="E131" s="45">
        <f>D131+E130</f>
        <v/>
      </c>
      <c r="F131" s="45">
        <f>E131+F130</f>
        <v/>
      </c>
      <c r="G131" s="45">
        <f>F131+G130</f>
        <v/>
      </c>
      <c r="H131" s="45">
        <f>G131+H130</f>
        <v/>
      </c>
      <c r="I131" s="45">
        <f>H131+I130</f>
        <v/>
      </c>
      <c r="J131" s="45">
        <f>I131+J130</f>
        <v/>
      </c>
      <c r="K131" s="45">
        <f>J131+K130</f>
        <v/>
      </c>
      <c r="L131" s="45">
        <f>K131+L130</f>
        <v/>
      </c>
      <c r="M131" s="45">
        <f>L131+M130</f>
        <v/>
      </c>
      <c r="N131" s="45">
        <f>M131+N130</f>
        <v/>
      </c>
      <c r="O131" s="45">
        <f>N131+O130</f>
        <v/>
      </c>
      <c r="P131" s="45">
        <f>O131+P130</f>
        <v/>
      </c>
      <c r="Q131" s="45">
        <f>P131+Q130</f>
        <v/>
      </c>
      <c r="R131" s="45">
        <f>Q131+R130</f>
        <v/>
      </c>
      <c r="S131" s="45">
        <f>R131+S130</f>
        <v/>
      </c>
      <c r="T131" s="45">
        <f>S131+T130</f>
        <v/>
      </c>
      <c r="U131" s="45">
        <f>T131+U130</f>
        <v/>
      </c>
      <c r="V131" s="45">
        <f>U131+V130</f>
        <v/>
      </c>
      <c r="W131" s="45">
        <f>V131+W130</f>
        <v/>
      </c>
      <c r="X131" s="45">
        <f>W131+X130</f>
        <v/>
      </c>
      <c r="Y131" s="45">
        <f>X131+Y130</f>
        <v/>
      </c>
      <c r="Z131" s="45">
        <f>Y131+Z130</f>
        <v/>
      </c>
      <c r="AA131" s="45">
        <f>Z131+AA130</f>
        <v/>
      </c>
      <c r="AB131" s="45">
        <f>AA131+AB130</f>
        <v/>
      </c>
      <c r="AC131" s="45">
        <f>AB131+AC130</f>
        <v/>
      </c>
      <c r="AD131" s="45">
        <f>AC131+AD130</f>
        <v/>
      </c>
      <c r="AE131" s="45">
        <f>AD131+AE130</f>
        <v/>
      </c>
      <c r="AF131" s="45">
        <f>AE131+AF130</f>
        <v/>
      </c>
      <c r="AG131" s="45">
        <f>AF131+AG130</f>
        <v/>
      </c>
      <c r="AH131" s="45">
        <f>AG131+AH130</f>
        <v/>
      </c>
      <c r="AI131" s="45">
        <f>AH131+AI130</f>
        <v/>
      </c>
      <c r="AJ131" s="45">
        <f>AI131+AJ130</f>
        <v/>
      </c>
      <c r="AK131" s="45">
        <f>AJ131+AK130</f>
        <v/>
      </c>
      <c r="AL131" s="45">
        <f>AK131+AL130</f>
        <v/>
      </c>
      <c r="AM131" s="45">
        <f>AL131+AM130</f>
        <v/>
      </c>
      <c r="AN131" s="45">
        <f>AM131+AN130</f>
        <v/>
      </c>
      <c r="AO131" s="45">
        <f>AN131+AO130</f>
        <v/>
      </c>
      <c r="AP131" s="45">
        <f>AO131+AP130</f>
        <v/>
      </c>
      <c r="AQ131" s="45">
        <f>AP131+AQ130</f>
        <v/>
      </c>
      <c r="AR131" s="45">
        <f>AQ131+AR130</f>
        <v/>
      </c>
      <c r="AS131" s="45">
        <f>AR131+AS130</f>
        <v/>
      </c>
      <c r="AT131" s="45">
        <f>AS131+AT130</f>
        <v/>
      </c>
      <c r="AU131" s="45">
        <f>AT131+AU130</f>
        <v/>
      </c>
      <c r="AV131" s="45">
        <f>AU131+AV130</f>
        <v/>
      </c>
      <c r="AW131" s="45">
        <f>AV131+AW130</f>
        <v/>
      </c>
      <c r="AX131" s="45">
        <f>AW131+AX130</f>
        <v/>
      </c>
      <c r="AY131" s="45">
        <f>AX131+AY130</f>
        <v/>
      </c>
      <c r="AZ131" s="45">
        <f>AY131+AZ130</f>
        <v/>
      </c>
      <c r="BA131" s="45">
        <f>AZ131+BA130</f>
        <v/>
      </c>
      <c r="BB131" s="45">
        <f>BA131+BB130</f>
        <v/>
      </c>
      <c r="BC131" s="45">
        <f>BB131+BC130</f>
        <v/>
      </c>
      <c r="BD131" s="45">
        <f>BC131+BD130</f>
        <v/>
      </c>
      <c r="BE131" s="45">
        <f>BD131+BE130</f>
        <v/>
      </c>
      <c r="BF131" s="45">
        <f>BE131+BF130</f>
        <v/>
      </c>
      <c r="BG131" s="45">
        <f>BF131+BG130</f>
        <v/>
      </c>
      <c r="BH131" s="45">
        <f>BG131+BH130</f>
        <v/>
      </c>
      <c r="BI131" s="45">
        <f>BH131+BI130</f>
        <v/>
      </c>
      <c r="BJ131" s="45">
        <f>BI131+BJ130</f>
        <v/>
      </c>
      <c r="BK131" s="45">
        <f>BJ131+BK130</f>
        <v/>
      </c>
      <c r="BL131" s="45">
        <f>BK131+BL130</f>
        <v/>
      </c>
      <c r="BM131" s="45">
        <f>BL131+BM130</f>
        <v/>
      </c>
    </row>
    <row r="132">
      <c r="A132" s="4" t="inlineStr">
        <is>
          <t>التمويل بالأسهم المستلم</t>
        </is>
      </c>
      <c r="B132" s="22" t="inlineStr">
        <is>
          <t>ج.م</t>
        </is>
      </c>
      <c r="C132" s="45">
        <f>IF(C7=-2,'الافتراضات'!$C$105,0)+IF(C7='الافتراضات'!$C$107,'الافتراضات'!$C$106,0)</f>
        <v/>
      </c>
      <c r="D132" s="45">
        <f>IF(D7=-2,'الافتراضات'!$C$105,0)+IF(D7='الافتراضات'!$C$107,'الافتراضات'!$C$106,0)</f>
        <v/>
      </c>
      <c r="E132" s="45">
        <f>IF(E7=-2,'الافتراضات'!$C$105,0)+IF(E7='الافتراضات'!$C$107,'الافتراضات'!$C$106,0)</f>
        <v/>
      </c>
      <c r="F132" s="45">
        <f>IF(F7=-2,'الافتراضات'!$C$105,0)+IF(F7='الافتراضات'!$C$107,'الافتراضات'!$C$106,0)</f>
        <v/>
      </c>
      <c r="G132" s="45">
        <f>IF(G7=-2,'الافتراضات'!$C$105,0)+IF(G7='الافتراضات'!$C$107,'الافتراضات'!$C$106,0)</f>
        <v/>
      </c>
      <c r="H132" s="45">
        <f>IF(H7=-2,'الافتراضات'!$C$105,0)+IF(H7='الافتراضات'!$C$107,'الافتراضات'!$C$106,0)</f>
        <v/>
      </c>
      <c r="I132" s="45">
        <f>IF(I7=-2,'الافتراضات'!$C$105,0)+IF(I7='الافتراضات'!$C$107,'الافتراضات'!$C$106,0)</f>
        <v/>
      </c>
      <c r="J132" s="45">
        <f>IF(J7=-2,'الافتراضات'!$C$105,0)+IF(J7='الافتراضات'!$C$107,'الافتراضات'!$C$106,0)</f>
        <v/>
      </c>
      <c r="K132" s="45">
        <f>IF(K7=-2,'الافتراضات'!$C$105,0)+IF(K7='الافتراضات'!$C$107,'الافتراضات'!$C$106,0)</f>
        <v/>
      </c>
      <c r="L132" s="45">
        <f>IF(L7=-2,'الافتراضات'!$C$105,0)+IF(L7='الافتراضات'!$C$107,'الافتراضات'!$C$106,0)</f>
        <v/>
      </c>
      <c r="M132" s="45">
        <f>IF(M7=-2,'الافتراضات'!$C$105,0)+IF(M7='الافتراضات'!$C$107,'الافتراضات'!$C$106,0)</f>
        <v/>
      </c>
      <c r="N132" s="45">
        <f>IF(N7=-2,'الافتراضات'!$C$105,0)+IF(N7='الافتراضات'!$C$107,'الافتراضات'!$C$106,0)</f>
        <v/>
      </c>
      <c r="O132" s="45">
        <f>IF(O7=-2,'الافتراضات'!$C$105,0)+IF(O7='الافتراضات'!$C$107,'الافتراضات'!$C$106,0)</f>
        <v/>
      </c>
      <c r="P132" s="45">
        <f>IF(P7=-2,'الافتراضات'!$C$105,0)+IF(P7='الافتراضات'!$C$107,'الافتراضات'!$C$106,0)</f>
        <v/>
      </c>
      <c r="Q132" s="45">
        <f>IF(Q7=-2,'الافتراضات'!$C$105,0)+IF(Q7='الافتراضات'!$C$107,'الافتراضات'!$C$106,0)</f>
        <v/>
      </c>
      <c r="R132" s="45">
        <f>IF(R7=-2,'الافتراضات'!$C$105,0)+IF(R7='الافتراضات'!$C$107,'الافتراضات'!$C$106,0)</f>
        <v/>
      </c>
      <c r="S132" s="45">
        <f>IF(S7=-2,'الافتراضات'!$C$105,0)+IF(S7='الافتراضات'!$C$107,'الافتراضات'!$C$106,0)</f>
        <v/>
      </c>
      <c r="T132" s="45">
        <f>IF(T7=-2,'الافتراضات'!$C$105,0)+IF(T7='الافتراضات'!$C$107,'الافتراضات'!$C$106,0)</f>
        <v/>
      </c>
      <c r="U132" s="45">
        <f>IF(U7=-2,'الافتراضات'!$C$105,0)+IF(U7='الافتراضات'!$C$107,'الافتراضات'!$C$106,0)</f>
        <v/>
      </c>
      <c r="V132" s="45">
        <f>IF(V7=-2,'الافتراضات'!$C$105,0)+IF(V7='الافتراضات'!$C$107,'الافتراضات'!$C$106,0)</f>
        <v/>
      </c>
      <c r="W132" s="45">
        <f>IF(W7=-2,'الافتراضات'!$C$105,0)+IF(W7='الافتراضات'!$C$107,'الافتراضات'!$C$106,0)</f>
        <v/>
      </c>
      <c r="X132" s="45">
        <f>IF(X7=-2,'الافتراضات'!$C$105,0)+IF(X7='الافتراضات'!$C$107,'الافتراضات'!$C$106,0)</f>
        <v/>
      </c>
      <c r="Y132" s="45">
        <f>IF(Y7=-2,'الافتراضات'!$C$105,0)+IF(Y7='الافتراضات'!$C$107,'الافتراضات'!$C$106,0)</f>
        <v/>
      </c>
      <c r="Z132" s="45">
        <f>IF(Z7=-2,'الافتراضات'!$C$105,0)+IF(Z7='الافتراضات'!$C$107,'الافتراضات'!$C$106,0)</f>
        <v/>
      </c>
      <c r="AA132" s="45">
        <f>IF(AA7=-2,'الافتراضات'!$C$105,0)+IF(AA7='الافتراضات'!$C$107,'الافتراضات'!$C$106,0)</f>
        <v/>
      </c>
      <c r="AB132" s="45">
        <f>IF(AB7=-2,'الافتراضات'!$C$105,0)+IF(AB7='الافتراضات'!$C$107,'الافتراضات'!$C$106,0)</f>
        <v/>
      </c>
      <c r="AC132" s="45">
        <f>IF(AC7=-2,'الافتراضات'!$C$105,0)+IF(AC7='الافتراضات'!$C$107,'الافتراضات'!$C$106,0)</f>
        <v/>
      </c>
      <c r="AD132" s="45">
        <f>IF(AD7=-2,'الافتراضات'!$C$105,0)+IF(AD7='الافتراضات'!$C$107,'الافتراضات'!$C$106,0)</f>
        <v/>
      </c>
      <c r="AE132" s="45">
        <f>IF(AE7=-2,'الافتراضات'!$C$105,0)+IF(AE7='الافتراضات'!$C$107,'الافتراضات'!$C$106,0)</f>
        <v/>
      </c>
      <c r="AF132" s="45">
        <f>IF(AF7=-2,'الافتراضات'!$C$105,0)+IF(AF7='الافتراضات'!$C$107,'الافتراضات'!$C$106,0)</f>
        <v/>
      </c>
      <c r="AG132" s="45">
        <f>IF(AG7=-2,'الافتراضات'!$C$105,0)+IF(AG7='الافتراضات'!$C$107,'الافتراضات'!$C$106,0)</f>
        <v/>
      </c>
      <c r="AH132" s="45">
        <f>IF(AH7=-2,'الافتراضات'!$C$105,0)+IF(AH7='الافتراضات'!$C$107,'الافتراضات'!$C$106,0)</f>
        <v/>
      </c>
      <c r="AI132" s="45">
        <f>IF(AI7=-2,'الافتراضات'!$C$105,0)+IF(AI7='الافتراضات'!$C$107,'الافتراضات'!$C$106,0)</f>
        <v/>
      </c>
      <c r="AJ132" s="45">
        <f>IF(AJ7=-2,'الافتراضات'!$C$105,0)+IF(AJ7='الافتراضات'!$C$107,'الافتراضات'!$C$106,0)</f>
        <v/>
      </c>
      <c r="AK132" s="45">
        <f>IF(AK7=-2,'الافتراضات'!$C$105,0)+IF(AK7='الافتراضات'!$C$107,'الافتراضات'!$C$106,0)</f>
        <v/>
      </c>
      <c r="AL132" s="45">
        <f>IF(AL7=-2,'الافتراضات'!$C$105,0)+IF(AL7='الافتراضات'!$C$107,'الافتراضات'!$C$106,0)</f>
        <v/>
      </c>
      <c r="AM132" s="45">
        <f>IF(AM7=-2,'الافتراضات'!$C$105,0)+IF(AM7='الافتراضات'!$C$107,'الافتراضات'!$C$106,0)</f>
        <v/>
      </c>
      <c r="AN132" s="45">
        <f>IF(AN7=-2,'الافتراضات'!$C$105,0)+IF(AN7='الافتراضات'!$C$107,'الافتراضات'!$C$106,0)</f>
        <v/>
      </c>
      <c r="AO132" s="45">
        <f>IF(AO7=-2,'الافتراضات'!$C$105,0)+IF(AO7='الافتراضات'!$C$107,'الافتراضات'!$C$106,0)</f>
        <v/>
      </c>
      <c r="AP132" s="45">
        <f>IF(AP7=-2,'الافتراضات'!$C$105,0)+IF(AP7='الافتراضات'!$C$107,'الافتراضات'!$C$106,0)</f>
        <v/>
      </c>
      <c r="AQ132" s="45">
        <f>IF(AQ7=-2,'الافتراضات'!$C$105,0)+IF(AQ7='الافتراضات'!$C$107,'الافتراضات'!$C$106,0)</f>
        <v/>
      </c>
      <c r="AR132" s="45">
        <f>IF(AR7=-2,'الافتراضات'!$C$105,0)+IF(AR7='الافتراضات'!$C$107,'الافتراضات'!$C$106,0)</f>
        <v/>
      </c>
      <c r="AS132" s="45">
        <f>IF(AS7=-2,'الافتراضات'!$C$105,0)+IF(AS7='الافتراضات'!$C$107,'الافتراضات'!$C$106,0)</f>
        <v/>
      </c>
      <c r="AT132" s="45">
        <f>IF(AT7=-2,'الافتراضات'!$C$105,0)+IF(AT7='الافتراضات'!$C$107,'الافتراضات'!$C$106,0)</f>
        <v/>
      </c>
      <c r="AU132" s="45">
        <f>IF(AU7=-2,'الافتراضات'!$C$105,0)+IF(AU7='الافتراضات'!$C$107,'الافتراضات'!$C$106,0)</f>
        <v/>
      </c>
      <c r="AV132" s="45">
        <f>IF(AV7=-2,'الافتراضات'!$C$105,0)+IF(AV7='الافتراضات'!$C$107,'الافتراضات'!$C$106,0)</f>
        <v/>
      </c>
      <c r="AW132" s="45">
        <f>IF(AW7=-2,'الافتراضات'!$C$105,0)+IF(AW7='الافتراضات'!$C$107,'الافتراضات'!$C$106,0)</f>
        <v/>
      </c>
      <c r="AX132" s="45">
        <f>IF(AX7=-2,'الافتراضات'!$C$105,0)+IF(AX7='الافتراضات'!$C$107,'الافتراضات'!$C$106,0)</f>
        <v/>
      </c>
      <c r="AY132" s="45">
        <f>IF(AY7=-2,'الافتراضات'!$C$105,0)+IF(AY7='الافتراضات'!$C$107,'الافتراضات'!$C$106,0)</f>
        <v/>
      </c>
      <c r="AZ132" s="45">
        <f>IF(AZ7=-2,'الافتراضات'!$C$105,0)+IF(AZ7='الافتراضات'!$C$107,'الافتراضات'!$C$106,0)</f>
        <v/>
      </c>
      <c r="BA132" s="45">
        <f>IF(BA7=-2,'الافتراضات'!$C$105,0)+IF(BA7='الافتراضات'!$C$107,'الافتراضات'!$C$106,0)</f>
        <v/>
      </c>
      <c r="BB132" s="45">
        <f>IF(BB7=-2,'الافتراضات'!$C$105,0)+IF(BB7='الافتراضات'!$C$107,'الافتراضات'!$C$106,0)</f>
        <v/>
      </c>
      <c r="BC132" s="45">
        <f>IF(BC7=-2,'الافتراضات'!$C$105,0)+IF(BC7='الافتراضات'!$C$107,'الافتراضات'!$C$106,0)</f>
        <v/>
      </c>
      <c r="BD132" s="45">
        <f>IF(BD7=-2,'الافتراضات'!$C$105,0)+IF(BD7='الافتراضات'!$C$107,'الافتراضات'!$C$106,0)</f>
        <v/>
      </c>
      <c r="BE132" s="45">
        <f>IF(BE7=-2,'الافتراضات'!$C$105,0)+IF(BE7='الافتراضات'!$C$107,'الافتراضات'!$C$106,0)</f>
        <v/>
      </c>
      <c r="BF132" s="45">
        <f>IF(BF7=-2,'الافتراضات'!$C$105,0)+IF(BF7='الافتراضات'!$C$107,'الافتراضات'!$C$106,0)</f>
        <v/>
      </c>
      <c r="BG132" s="45">
        <f>IF(BG7=-2,'الافتراضات'!$C$105,0)+IF(BG7='الافتراضات'!$C$107,'الافتراضات'!$C$106,0)</f>
        <v/>
      </c>
      <c r="BH132" s="45">
        <f>IF(BH7=-2,'الافتراضات'!$C$105,0)+IF(BH7='الافتراضات'!$C$107,'الافتراضات'!$C$106,0)</f>
        <v/>
      </c>
      <c r="BI132" s="45">
        <f>IF(BI7=-2,'الافتراضات'!$C$105,0)+IF(BI7='الافتراضات'!$C$107,'الافتراضات'!$C$106,0)</f>
        <v/>
      </c>
      <c r="BJ132" s="45">
        <f>IF(BJ7=-2,'الافتراضات'!$C$105,0)+IF(BJ7='الافتراضات'!$C$107,'الافتراضات'!$C$106,0)</f>
        <v/>
      </c>
      <c r="BK132" s="45">
        <f>IF(BK7=-2,'الافتراضات'!$C$105,0)+IF(BK7='الافتراضات'!$C$107,'الافتراضات'!$C$106,0)</f>
        <v/>
      </c>
      <c r="BL132" s="45">
        <f>IF(BL7=-2,'الافتراضات'!$C$105,0)+IF(BL7='الافتراضات'!$C$107,'الافتراضات'!$C$106,0)</f>
        <v/>
      </c>
      <c r="BM132" s="45">
        <f>IF(BM7=-2,'الافتراضات'!$C$105,0)+IF(BM7='الافتراضات'!$C$107,'الافتراضات'!$C$106,0)</f>
        <v/>
      </c>
    </row>
    <row r="133">
      <c r="A133" s="48" t="inlineStr">
        <is>
          <t>رصيد النقدية (نهاية الشهر)</t>
        </is>
      </c>
      <c r="B133" s="49" t="inlineStr">
        <is>
          <t>ج.م</t>
        </is>
      </c>
      <c r="C133" s="52">
        <f>C130+C132</f>
        <v/>
      </c>
      <c r="D133" s="52">
        <f>C133+D130+D132</f>
        <v/>
      </c>
      <c r="E133" s="52">
        <f>D133+E130+E132</f>
        <v/>
      </c>
      <c r="F133" s="52">
        <f>E133+F130+F132</f>
        <v/>
      </c>
      <c r="G133" s="52">
        <f>F133+G130+G132</f>
        <v/>
      </c>
      <c r="H133" s="52">
        <f>G133+H130+H132</f>
        <v/>
      </c>
      <c r="I133" s="52">
        <f>H133+I130+I132</f>
        <v/>
      </c>
      <c r="J133" s="52">
        <f>I133+J130+J132</f>
        <v/>
      </c>
      <c r="K133" s="52">
        <f>J133+K130+K132</f>
        <v/>
      </c>
      <c r="L133" s="52">
        <f>K133+L130+L132</f>
        <v/>
      </c>
      <c r="M133" s="52">
        <f>L133+M130+M132</f>
        <v/>
      </c>
      <c r="N133" s="52">
        <f>M133+N130+N132</f>
        <v/>
      </c>
      <c r="O133" s="52">
        <f>N133+O130+O132</f>
        <v/>
      </c>
      <c r="P133" s="52">
        <f>O133+P130+P132</f>
        <v/>
      </c>
      <c r="Q133" s="52">
        <f>P133+Q130+Q132</f>
        <v/>
      </c>
      <c r="R133" s="52">
        <f>Q133+R130+R132</f>
        <v/>
      </c>
      <c r="S133" s="52">
        <f>R133+S130+S132</f>
        <v/>
      </c>
      <c r="T133" s="52">
        <f>S133+T130+T132</f>
        <v/>
      </c>
      <c r="U133" s="52">
        <f>T133+U130+U132</f>
        <v/>
      </c>
      <c r="V133" s="52">
        <f>U133+V130+V132</f>
        <v/>
      </c>
      <c r="W133" s="52">
        <f>V133+W130+W132</f>
        <v/>
      </c>
      <c r="X133" s="52">
        <f>W133+X130+X132</f>
        <v/>
      </c>
      <c r="Y133" s="52">
        <f>X133+Y130+Y132</f>
        <v/>
      </c>
      <c r="Z133" s="52">
        <f>Y133+Z130+Z132</f>
        <v/>
      </c>
      <c r="AA133" s="52">
        <f>Z133+AA130+AA132</f>
        <v/>
      </c>
      <c r="AB133" s="52">
        <f>AA133+AB130+AB132</f>
        <v/>
      </c>
      <c r="AC133" s="52">
        <f>AB133+AC130+AC132</f>
        <v/>
      </c>
      <c r="AD133" s="52">
        <f>AC133+AD130+AD132</f>
        <v/>
      </c>
      <c r="AE133" s="52">
        <f>AD133+AE130+AE132</f>
        <v/>
      </c>
      <c r="AF133" s="52">
        <f>AE133+AF130+AF132</f>
        <v/>
      </c>
      <c r="AG133" s="52">
        <f>AF133+AG130+AG132</f>
        <v/>
      </c>
      <c r="AH133" s="52">
        <f>AG133+AH130+AH132</f>
        <v/>
      </c>
      <c r="AI133" s="52">
        <f>AH133+AI130+AI132</f>
        <v/>
      </c>
      <c r="AJ133" s="52">
        <f>AI133+AJ130+AJ132</f>
        <v/>
      </c>
      <c r="AK133" s="52">
        <f>AJ133+AK130+AK132</f>
        <v/>
      </c>
      <c r="AL133" s="52">
        <f>AK133+AL130+AL132</f>
        <v/>
      </c>
      <c r="AM133" s="52">
        <f>AL133+AM130+AM132</f>
        <v/>
      </c>
      <c r="AN133" s="52">
        <f>AM133+AN130+AN132</f>
        <v/>
      </c>
      <c r="AO133" s="52">
        <f>AN133+AO130+AO132</f>
        <v/>
      </c>
      <c r="AP133" s="52">
        <f>AO133+AP130+AP132</f>
        <v/>
      </c>
      <c r="AQ133" s="52">
        <f>AP133+AQ130+AQ132</f>
        <v/>
      </c>
      <c r="AR133" s="52">
        <f>AQ133+AR130+AR132</f>
        <v/>
      </c>
      <c r="AS133" s="52">
        <f>AR133+AS130+AS132</f>
        <v/>
      </c>
      <c r="AT133" s="52">
        <f>AS133+AT130+AT132</f>
        <v/>
      </c>
      <c r="AU133" s="52">
        <f>AT133+AU130+AU132</f>
        <v/>
      </c>
      <c r="AV133" s="52">
        <f>AU133+AV130+AV132</f>
        <v/>
      </c>
      <c r="AW133" s="52">
        <f>AV133+AW130+AW132</f>
        <v/>
      </c>
      <c r="AX133" s="52">
        <f>AW133+AX130+AX132</f>
        <v/>
      </c>
      <c r="AY133" s="52">
        <f>AX133+AY130+AY132</f>
        <v/>
      </c>
      <c r="AZ133" s="52">
        <f>AY133+AZ130+AZ132</f>
        <v/>
      </c>
      <c r="BA133" s="52">
        <f>AZ133+BA130+BA132</f>
        <v/>
      </c>
      <c r="BB133" s="52">
        <f>BA133+BB130+BB132</f>
        <v/>
      </c>
      <c r="BC133" s="52">
        <f>BB133+BC130+BC132</f>
        <v/>
      </c>
      <c r="BD133" s="52">
        <f>BC133+BD130+BD132</f>
        <v/>
      </c>
      <c r="BE133" s="52">
        <f>BD133+BE130+BE132</f>
        <v/>
      </c>
      <c r="BF133" s="52">
        <f>BE133+BF130+BF132</f>
        <v/>
      </c>
      <c r="BG133" s="52">
        <f>BF133+BG130+BG132</f>
        <v/>
      </c>
      <c r="BH133" s="52">
        <f>BG133+BH130+BH132</f>
        <v/>
      </c>
      <c r="BI133" s="52">
        <f>BH133+BI130+BI132</f>
        <v/>
      </c>
      <c r="BJ133" s="52">
        <f>BI133+BJ130+BJ132</f>
        <v/>
      </c>
      <c r="BK133" s="52">
        <f>BJ133+BK130+BK132</f>
        <v/>
      </c>
      <c r="BL133" s="52">
        <f>BK133+BL130+BL132</f>
        <v/>
      </c>
      <c r="BM133" s="52">
        <f>BL133+BM130+BM132</f>
        <v/>
      </c>
    </row>
    <row r="134"/>
    <row r="135">
      <c r="A135" s="40" t="inlineStr">
        <is>
          <t>حسابات مساعدة</t>
        </is>
      </c>
      <c r="B135" s="41" t="n"/>
      <c r="C135" s="41" t="n"/>
      <c r="D135" s="41" t="n"/>
      <c r="E135" s="41" t="n"/>
      <c r="F135" s="41" t="n"/>
      <c r="G135" s="41" t="n"/>
      <c r="H135" s="41" t="n"/>
      <c r="I135" s="41" t="n"/>
      <c r="J135" s="41" t="n"/>
      <c r="K135" s="41" t="n"/>
      <c r="L135" s="41" t="n"/>
      <c r="M135" s="41" t="n"/>
      <c r="N135" s="41" t="n"/>
      <c r="O135" s="41" t="n"/>
      <c r="P135" s="41" t="n"/>
      <c r="Q135" s="41" t="n"/>
      <c r="R135" s="41" t="n"/>
      <c r="S135" s="41" t="n"/>
      <c r="T135" s="41" t="n"/>
      <c r="U135" s="41" t="n"/>
      <c r="V135" s="41" t="n"/>
      <c r="W135" s="41" t="n"/>
      <c r="X135" s="41" t="n"/>
      <c r="Y135" s="41" t="n"/>
      <c r="Z135" s="41" t="n"/>
      <c r="AA135" s="41" t="n"/>
      <c r="AB135" s="41" t="n"/>
      <c r="AC135" s="41" t="n"/>
      <c r="AD135" s="41" t="n"/>
      <c r="AE135" s="41" t="n"/>
      <c r="AF135" s="41" t="n"/>
      <c r="AG135" s="41" t="n"/>
      <c r="AH135" s="41" t="n"/>
      <c r="AI135" s="41" t="n"/>
      <c r="AJ135" s="41" t="n"/>
      <c r="AK135" s="41" t="n"/>
      <c r="AL135" s="41" t="n"/>
      <c r="AM135" s="41" t="n"/>
      <c r="AN135" s="41" t="n"/>
      <c r="AO135" s="41" t="n"/>
      <c r="AP135" s="41" t="n"/>
      <c r="AQ135" s="41" t="n"/>
      <c r="AR135" s="41" t="n"/>
      <c r="AS135" s="41" t="n"/>
      <c r="AT135" s="41" t="n"/>
      <c r="AU135" s="41" t="n"/>
      <c r="AV135" s="41" t="n"/>
      <c r="AW135" s="41" t="n"/>
      <c r="AX135" s="41" t="n"/>
      <c r="AY135" s="41" t="n"/>
      <c r="AZ135" s="41" t="n"/>
      <c r="BA135" s="41" t="n"/>
      <c r="BB135" s="41" t="n"/>
      <c r="BC135" s="41" t="n"/>
      <c r="BD135" s="41" t="n"/>
      <c r="BE135" s="41" t="n"/>
      <c r="BF135" s="41" t="n"/>
      <c r="BG135" s="41" t="n"/>
      <c r="BH135" s="41" t="n"/>
      <c r="BI135" s="41" t="n"/>
      <c r="BJ135" s="41" t="n"/>
      <c r="BK135" s="41" t="n"/>
      <c r="BL135" s="41" t="n"/>
      <c r="BM135" s="41" t="n"/>
    </row>
    <row r="136">
      <c r="A136" s="4" t="inlineStr">
        <is>
          <t>EBITDA موجبة (1/0)</t>
        </is>
      </c>
      <c r="B136" s="22" t="inlineStr"/>
      <c r="C136" s="43">
        <f>IF(C105&gt;0,1,0)</f>
        <v/>
      </c>
      <c r="D136" s="43">
        <f>IF(D105&gt;0,1,0)</f>
        <v/>
      </c>
      <c r="E136" s="43">
        <f>IF(E105&gt;0,1,0)</f>
        <v/>
      </c>
      <c r="F136" s="43">
        <f>IF(F105&gt;0,1,0)</f>
        <v/>
      </c>
      <c r="G136" s="43">
        <f>IF(G105&gt;0,1,0)</f>
        <v/>
      </c>
      <c r="H136" s="43">
        <f>IF(H105&gt;0,1,0)</f>
        <v/>
      </c>
      <c r="I136" s="43">
        <f>IF(I105&gt;0,1,0)</f>
        <v/>
      </c>
      <c r="J136" s="43">
        <f>IF(J105&gt;0,1,0)</f>
        <v/>
      </c>
      <c r="K136" s="43">
        <f>IF(K105&gt;0,1,0)</f>
        <v/>
      </c>
      <c r="L136" s="43">
        <f>IF(L105&gt;0,1,0)</f>
        <v/>
      </c>
      <c r="M136" s="43">
        <f>IF(M105&gt;0,1,0)</f>
        <v/>
      </c>
      <c r="N136" s="43">
        <f>IF(N105&gt;0,1,0)</f>
        <v/>
      </c>
      <c r="O136" s="43">
        <f>IF(O105&gt;0,1,0)</f>
        <v/>
      </c>
      <c r="P136" s="43">
        <f>IF(P105&gt;0,1,0)</f>
        <v/>
      </c>
      <c r="Q136" s="43">
        <f>IF(Q105&gt;0,1,0)</f>
        <v/>
      </c>
      <c r="R136" s="43">
        <f>IF(R105&gt;0,1,0)</f>
        <v/>
      </c>
      <c r="S136" s="43">
        <f>IF(S105&gt;0,1,0)</f>
        <v/>
      </c>
      <c r="T136" s="43">
        <f>IF(T105&gt;0,1,0)</f>
        <v/>
      </c>
      <c r="U136" s="43">
        <f>IF(U105&gt;0,1,0)</f>
        <v/>
      </c>
      <c r="V136" s="43">
        <f>IF(V105&gt;0,1,0)</f>
        <v/>
      </c>
      <c r="W136" s="43">
        <f>IF(W105&gt;0,1,0)</f>
        <v/>
      </c>
      <c r="X136" s="43">
        <f>IF(X105&gt;0,1,0)</f>
        <v/>
      </c>
      <c r="Y136" s="43">
        <f>IF(Y105&gt;0,1,0)</f>
        <v/>
      </c>
      <c r="Z136" s="43">
        <f>IF(Z105&gt;0,1,0)</f>
        <v/>
      </c>
      <c r="AA136" s="43">
        <f>IF(AA105&gt;0,1,0)</f>
        <v/>
      </c>
      <c r="AB136" s="43">
        <f>IF(AB105&gt;0,1,0)</f>
        <v/>
      </c>
      <c r="AC136" s="43">
        <f>IF(AC105&gt;0,1,0)</f>
        <v/>
      </c>
      <c r="AD136" s="43">
        <f>IF(AD105&gt;0,1,0)</f>
        <v/>
      </c>
      <c r="AE136" s="43">
        <f>IF(AE105&gt;0,1,0)</f>
        <v/>
      </c>
      <c r="AF136" s="43">
        <f>IF(AF105&gt;0,1,0)</f>
        <v/>
      </c>
      <c r="AG136" s="43">
        <f>IF(AG105&gt;0,1,0)</f>
        <v/>
      </c>
      <c r="AH136" s="43">
        <f>IF(AH105&gt;0,1,0)</f>
        <v/>
      </c>
      <c r="AI136" s="43">
        <f>IF(AI105&gt;0,1,0)</f>
        <v/>
      </c>
      <c r="AJ136" s="43">
        <f>IF(AJ105&gt;0,1,0)</f>
        <v/>
      </c>
      <c r="AK136" s="43">
        <f>IF(AK105&gt;0,1,0)</f>
        <v/>
      </c>
      <c r="AL136" s="43">
        <f>IF(AL105&gt;0,1,0)</f>
        <v/>
      </c>
      <c r="AM136" s="43">
        <f>IF(AM105&gt;0,1,0)</f>
        <v/>
      </c>
      <c r="AN136" s="43">
        <f>IF(AN105&gt;0,1,0)</f>
        <v/>
      </c>
      <c r="AO136" s="43">
        <f>IF(AO105&gt;0,1,0)</f>
        <v/>
      </c>
      <c r="AP136" s="43">
        <f>IF(AP105&gt;0,1,0)</f>
        <v/>
      </c>
      <c r="AQ136" s="43">
        <f>IF(AQ105&gt;0,1,0)</f>
        <v/>
      </c>
      <c r="AR136" s="43">
        <f>IF(AR105&gt;0,1,0)</f>
        <v/>
      </c>
      <c r="AS136" s="43">
        <f>IF(AS105&gt;0,1,0)</f>
        <v/>
      </c>
      <c r="AT136" s="43">
        <f>IF(AT105&gt;0,1,0)</f>
        <v/>
      </c>
      <c r="AU136" s="43">
        <f>IF(AU105&gt;0,1,0)</f>
        <v/>
      </c>
      <c r="AV136" s="43">
        <f>IF(AV105&gt;0,1,0)</f>
        <v/>
      </c>
      <c r="AW136" s="43">
        <f>IF(AW105&gt;0,1,0)</f>
        <v/>
      </c>
      <c r="AX136" s="43">
        <f>IF(AX105&gt;0,1,0)</f>
        <v/>
      </c>
      <c r="AY136" s="43">
        <f>IF(AY105&gt;0,1,0)</f>
        <v/>
      </c>
      <c r="AZ136" s="43">
        <f>IF(AZ105&gt;0,1,0)</f>
        <v/>
      </c>
      <c r="BA136" s="43">
        <f>IF(BA105&gt;0,1,0)</f>
        <v/>
      </c>
      <c r="BB136" s="43">
        <f>IF(BB105&gt;0,1,0)</f>
        <v/>
      </c>
      <c r="BC136" s="43">
        <f>IF(BC105&gt;0,1,0)</f>
        <v/>
      </c>
      <c r="BD136" s="43">
        <f>IF(BD105&gt;0,1,0)</f>
        <v/>
      </c>
      <c r="BE136" s="43">
        <f>IF(BE105&gt;0,1,0)</f>
        <v/>
      </c>
      <c r="BF136" s="43">
        <f>IF(BF105&gt;0,1,0)</f>
        <v/>
      </c>
      <c r="BG136" s="43">
        <f>IF(BG105&gt;0,1,0)</f>
        <v/>
      </c>
      <c r="BH136" s="43">
        <f>IF(BH105&gt;0,1,0)</f>
        <v/>
      </c>
      <c r="BI136" s="43">
        <f>IF(BI105&gt;0,1,0)</f>
        <v/>
      </c>
      <c r="BJ136" s="43">
        <f>IF(BJ105&gt;0,1,0)</f>
        <v/>
      </c>
      <c r="BK136" s="43">
        <f>IF(BK105&gt;0,1,0)</f>
        <v/>
      </c>
      <c r="BL136" s="43">
        <f>IF(BL105&gt;0,1,0)</f>
        <v/>
      </c>
      <c r="BM136" s="43">
        <f>IF(BM105&gt;0,1,0)</f>
        <v/>
      </c>
    </row>
    <row r="137">
      <c r="A137" s="4" t="inlineStr">
        <is>
          <t>الشهور الموجبة حتى الآن</t>
        </is>
      </c>
      <c r="B137" s="22" t="inlineStr"/>
      <c r="C137" s="43">
        <f>C136</f>
        <v/>
      </c>
      <c r="D137" s="43">
        <f>C137+D136</f>
        <v/>
      </c>
      <c r="E137" s="43">
        <f>D137+E136</f>
        <v/>
      </c>
      <c r="F137" s="43">
        <f>E137+F136</f>
        <v/>
      </c>
      <c r="G137" s="43">
        <f>F137+G136</f>
        <v/>
      </c>
      <c r="H137" s="43">
        <f>G137+H136</f>
        <v/>
      </c>
      <c r="I137" s="43">
        <f>H137+I136</f>
        <v/>
      </c>
      <c r="J137" s="43">
        <f>I137+J136</f>
        <v/>
      </c>
      <c r="K137" s="43">
        <f>J137+K136</f>
        <v/>
      </c>
      <c r="L137" s="43">
        <f>K137+L136</f>
        <v/>
      </c>
      <c r="M137" s="43">
        <f>L137+M136</f>
        <v/>
      </c>
      <c r="N137" s="43">
        <f>M137+N136</f>
        <v/>
      </c>
      <c r="O137" s="43">
        <f>N137+O136</f>
        <v/>
      </c>
      <c r="P137" s="43">
        <f>O137+P136</f>
        <v/>
      </c>
      <c r="Q137" s="43">
        <f>P137+Q136</f>
        <v/>
      </c>
      <c r="R137" s="43">
        <f>Q137+R136</f>
        <v/>
      </c>
      <c r="S137" s="43">
        <f>R137+S136</f>
        <v/>
      </c>
      <c r="T137" s="43">
        <f>S137+T136</f>
        <v/>
      </c>
      <c r="U137" s="43">
        <f>T137+U136</f>
        <v/>
      </c>
      <c r="V137" s="43">
        <f>U137+V136</f>
        <v/>
      </c>
      <c r="W137" s="43">
        <f>V137+W136</f>
        <v/>
      </c>
      <c r="X137" s="43">
        <f>W137+X136</f>
        <v/>
      </c>
      <c r="Y137" s="43">
        <f>X137+Y136</f>
        <v/>
      </c>
      <c r="Z137" s="43">
        <f>Y137+Z136</f>
        <v/>
      </c>
      <c r="AA137" s="43">
        <f>Z137+AA136</f>
        <v/>
      </c>
      <c r="AB137" s="43">
        <f>AA137+AB136</f>
        <v/>
      </c>
      <c r="AC137" s="43">
        <f>AB137+AC136</f>
        <v/>
      </c>
      <c r="AD137" s="43">
        <f>AC137+AD136</f>
        <v/>
      </c>
      <c r="AE137" s="43">
        <f>AD137+AE136</f>
        <v/>
      </c>
      <c r="AF137" s="43">
        <f>AE137+AF136</f>
        <v/>
      </c>
      <c r="AG137" s="43">
        <f>AF137+AG136</f>
        <v/>
      </c>
      <c r="AH137" s="43">
        <f>AG137+AH136</f>
        <v/>
      </c>
      <c r="AI137" s="43">
        <f>AH137+AI136</f>
        <v/>
      </c>
      <c r="AJ137" s="43">
        <f>AI137+AJ136</f>
        <v/>
      </c>
      <c r="AK137" s="43">
        <f>AJ137+AK136</f>
        <v/>
      </c>
      <c r="AL137" s="43">
        <f>AK137+AL136</f>
        <v/>
      </c>
      <c r="AM137" s="43">
        <f>AL137+AM136</f>
        <v/>
      </c>
      <c r="AN137" s="43">
        <f>AM137+AN136</f>
        <v/>
      </c>
      <c r="AO137" s="43">
        <f>AN137+AO136</f>
        <v/>
      </c>
      <c r="AP137" s="43">
        <f>AO137+AP136</f>
        <v/>
      </c>
      <c r="AQ137" s="43">
        <f>AP137+AQ136</f>
        <v/>
      </c>
      <c r="AR137" s="43">
        <f>AQ137+AR136</f>
        <v/>
      </c>
      <c r="AS137" s="43">
        <f>AR137+AS136</f>
        <v/>
      </c>
      <c r="AT137" s="43">
        <f>AS137+AT136</f>
        <v/>
      </c>
      <c r="AU137" s="43">
        <f>AT137+AU136</f>
        <v/>
      </c>
      <c r="AV137" s="43">
        <f>AU137+AV136</f>
        <v/>
      </c>
      <c r="AW137" s="43">
        <f>AV137+AW136</f>
        <v/>
      </c>
      <c r="AX137" s="43">
        <f>AW137+AX136</f>
        <v/>
      </c>
      <c r="AY137" s="43">
        <f>AX137+AY136</f>
        <v/>
      </c>
      <c r="AZ137" s="43">
        <f>AY137+AZ136</f>
        <v/>
      </c>
      <c r="BA137" s="43">
        <f>AZ137+BA136</f>
        <v/>
      </c>
      <c r="BB137" s="43">
        <f>BA137+BB136</f>
        <v/>
      </c>
      <c r="BC137" s="43">
        <f>BB137+BC136</f>
        <v/>
      </c>
      <c r="BD137" s="43">
        <f>BC137+BD136</f>
        <v/>
      </c>
      <c r="BE137" s="43">
        <f>BD137+BE136</f>
        <v/>
      </c>
      <c r="BF137" s="43">
        <f>BE137+BF136</f>
        <v/>
      </c>
      <c r="BG137" s="43">
        <f>BF137+BG136</f>
        <v/>
      </c>
      <c r="BH137" s="43">
        <f>BG137+BH136</f>
        <v/>
      </c>
      <c r="BI137" s="43">
        <f>BH137+BI136</f>
        <v/>
      </c>
      <c r="BJ137" s="43">
        <f>BI137+BJ136</f>
        <v/>
      </c>
      <c r="BK137" s="43">
        <f>BJ137+BK136</f>
        <v/>
      </c>
      <c r="BL137" s="43">
        <f>BK137+BL136</f>
        <v/>
      </c>
      <c r="BM137" s="43">
        <f>BL137+BM136</f>
        <v/>
      </c>
    </row>
    <row r="138">
      <c r="A138" s="4" t="inlineStr">
        <is>
          <t>أول شهر EBITDA موجبة</t>
        </is>
      </c>
      <c r="B138" s="22" t="inlineStr"/>
      <c r="C138" s="53">
        <f>IF(AND(C136=1,C137=1),C5,0)</f>
        <v/>
      </c>
      <c r="D138" s="53">
        <f>IF(AND(D136=1,D137=1),D5,0)</f>
        <v/>
      </c>
      <c r="E138" s="53">
        <f>IF(AND(E136=1,E137=1),E5,0)</f>
        <v/>
      </c>
      <c r="F138" s="53">
        <f>IF(AND(F136=1,F137=1),F5,0)</f>
        <v/>
      </c>
      <c r="G138" s="53">
        <f>IF(AND(G136=1,G137=1),G5,0)</f>
        <v/>
      </c>
      <c r="H138" s="53">
        <f>IF(AND(H136=1,H137=1),H5,0)</f>
        <v/>
      </c>
      <c r="I138" s="53">
        <f>IF(AND(I136=1,I137=1),I5,0)</f>
        <v/>
      </c>
      <c r="J138" s="53">
        <f>IF(AND(J136=1,J137=1),J5,0)</f>
        <v/>
      </c>
      <c r="K138" s="53">
        <f>IF(AND(K136=1,K137=1),K5,0)</f>
        <v/>
      </c>
      <c r="L138" s="53">
        <f>IF(AND(L136=1,L137=1),L5,0)</f>
        <v/>
      </c>
      <c r="M138" s="53">
        <f>IF(AND(M136=1,M137=1),M5,0)</f>
        <v/>
      </c>
      <c r="N138" s="53">
        <f>IF(AND(N136=1,N137=1),N5,0)</f>
        <v/>
      </c>
      <c r="O138" s="53">
        <f>IF(AND(O136=1,O137=1),O5,0)</f>
        <v/>
      </c>
      <c r="P138" s="53">
        <f>IF(AND(P136=1,P137=1),P5,0)</f>
        <v/>
      </c>
      <c r="Q138" s="53">
        <f>IF(AND(Q136=1,Q137=1),Q5,0)</f>
        <v/>
      </c>
      <c r="R138" s="53">
        <f>IF(AND(R136=1,R137=1),R5,0)</f>
        <v/>
      </c>
      <c r="S138" s="53">
        <f>IF(AND(S136=1,S137=1),S5,0)</f>
        <v/>
      </c>
      <c r="T138" s="53">
        <f>IF(AND(T136=1,T137=1),T5,0)</f>
        <v/>
      </c>
      <c r="U138" s="53">
        <f>IF(AND(U136=1,U137=1),U5,0)</f>
        <v/>
      </c>
      <c r="V138" s="53">
        <f>IF(AND(V136=1,V137=1),V5,0)</f>
        <v/>
      </c>
      <c r="W138" s="53">
        <f>IF(AND(W136=1,W137=1),W5,0)</f>
        <v/>
      </c>
      <c r="X138" s="53">
        <f>IF(AND(X136=1,X137=1),X5,0)</f>
        <v/>
      </c>
      <c r="Y138" s="53">
        <f>IF(AND(Y136=1,Y137=1),Y5,0)</f>
        <v/>
      </c>
      <c r="Z138" s="53">
        <f>IF(AND(Z136=1,Z137=1),Z5,0)</f>
        <v/>
      </c>
      <c r="AA138" s="53">
        <f>IF(AND(AA136=1,AA137=1),AA5,0)</f>
        <v/>
      </c>
      <c r="AB138" s="53">
        <f>IF(AND(AB136=1,AB137=1),AB5,0)</f>
        <v/>
      </c>
      <c r="AC138" s="53">
        <f>IF(AND(AC136=1,AC137=1),AC5,0)</f>
        <v/>
      </c>
      <c r="AD138" s="53">
        <f>IF(AND(AD136=1,AD137=1),AD5,0)</f>
        <v/>
      </c>
      <c r="AE138" s="53">
        <f>IF(AND(AE136=1,AE137=1),AE5,0)</f>
        <v/>
      </c>
      <c r="AF138" s="53">
        <f>IF(AND(AF136=1,AF137=1),AF5,0)</f>
        <v/>
      </c>
      <c r="AG138" s="53">
        <f>IF(AND(AG136=1,AG137=1),AG5,0)</f>
        <v/>
      </c>
      <c r="AH138" s="53">
        <f>IF(AND(AH136=1,AH137=1),AH5,0)</f>
        <v/>
      </c>
      <c r="AI138" s="53">
        <f>IF(AND(AI136=1,AI137=1),AI5,0)</f>
        <v/>
      </c>
      <c r="AJ138" s="53">
        <f>IF(AND(AJ136=1,AJ137=1),AJ5,0)</f>
        <v/>
      </c>
      <c r="AK138" s="53">
        <f>IF(AND(AK136=1,AK137=1),AK5,0)</f>
        <v/>
      </c>
      <c r="AL138" s="53">
        <f>IF(AND(AL136=1,AL137=1),AL5,0)</f>
        <v/>
      </c>
      <c r="AM138" s="53">
        <f>IF(AND(AM136=1,AM137=1),AM5,0)</f>
        <v/>
      </c>
      <c r="AN138" s="53">
        <f>IF(AND(AN136=1,AN137=1),AN5,0)</f>
        <v/>
      </c>
      <c r="AO138" s="53">
        <f>IF(AND(AO136=1,AO137=1),AO5,0)</f>
        <v/>
      </c>
      <c r="AP138" s="53">
        <f>IF(AND(AP136=1,AP137=1),AP5,0)</f>
        <v/>
      </c>
      <c r="AQ138" s="53">
        <f>IF(AND(AQ136=1,AQ137=1),AQ5,0)</f>
        <v/>
      </c>
      <c r="AR138" s="53">
        <f>IF(AND(AR136=1,AR137=1),AR5,0)</f>
        <v/>
      </c>
      <c r="AS138" s="53">
        <f>IF(AND(AS136=1,AS137=1),AS5,0)</f>
        <v/>
      </c>
      <c r="AT138" s="53">
        <f>IF(AND(AT136=1,AT137=1),AT5,0)</f>
        <v/>
      </c>
      <c r="AU138" s="53">
        <f>IF(AND(AU136=1,AU137=1),AU5,0)</f>
        <v/>
      </c>
      <c r="AV138" s="53">
        <f>IF(AND(AV136=1,AV137=1),AV5,0)</f>
        <v/>
      </c>
      <c r="AW138" s="53">
        <f>IF(AND(AW136=1,AW137=1),AW5,0)</f>
        <v/>
      </c>
      <c r="AX138" s="53">
        <f>IF(AND(AX136=1,AX137=1),AX5,0)</f>
        <v/>
      </c>
      <c r="AY138" s="53">
        <f>IF(AND(AY136=1,AY137=1),AY5,0)</f>
        <v/>
      </c>
      <c r="AZ138" s="53">
        <f>IF(AND(AZ136=1,AZ137=1),AZ5,0)</f>
        <v/>
      </c>
      <c r="BA138" s="53">
        <f>IF(AND(BA136=1,BA137=1),BA5,0)</f>
        <v/>
      </c>
      <c r="BB138" s="53">
        <f>IF(AND(BB136=1,BB137=1),BB5,0)</f>
        <v/>
      </c>
      <c r="BC138" s="53">
        <f>IF(AND(BC136=1,BC137=1),BC5,0)</f>
        <v/>
      </c>
      <c r="BD138" s="53">
        <f>IF(AND(BD136=1,BD137=1),BD5,0)</f>
        <v/>
      </c>
      <c r="BE138" s="53">
        <f>IF(AND(BE136=1,BE137=1),BE5,0)</f>
        <v/>
      </c>
      <c r="BF138" s="53">
        <f>IF(AND(BF136=1,BF137=1),BF5,0)</f>
        <v/>
      </c>
      <c r="BG138" s="53">
        <f>IF(AND(BG136=1,BG137=1),BG5,0)</f>
        <v/>
      </c>
      <c r="BH138" s="53">
        <f>IF(AND(BH136=1,BH137=1),BH5,0)</f>
        <v/>
      </c>
      <c r="BI138" s="53">
        <f>IF(AND(BI136=1,BI137=1),BI5,0)</f>
        <v/>
      </c>
      <c r="BJ138" s="53">
        <f>IF(AND(BJ136=1,BJ137=1),BJ5,0)</f>
        <v/>
      </c>
      <c r="BK138" s="53">
        <f>IF(AND(BK136=1,BK137=1),BK5,0)</f>
        <v/>
      </c>
      <c r="BL138" s="53">
        <f>IF(AND(BL136=1,BL137=1),BL5,0)</f>
        <v/>
      </c>
      <c r="BM138" s="53">
        <f>IF(AND(BM136=1,BM137=1),BM5,0)</f>
        <v/>
      </c>
    </row>
    <row r="139">
      <c r="A139" s="4" t="inlineStr">
        <is>
          <t>مساهمة موجبة (1/0)</t>
        </is>
      </c>
      <c r="B139" s="22" t="inlineStr"/>
      <c r="C139" s="43">
        <f>IF(AND(C90&gt;0,C8=1),1,0)</f>
        <v/>
      </c>
      <c r="D139" s="43">
        <f>IF(AND(D90&gt;0,D8=1),1,0)</f>
        <v/>
      </c>
      <c r="E139" s="43">
        <f>IF(AND(E90&gt;0,E8=1),1,0)</f>
        <v/>
      </c>
      <c r="F139" s="43">
        <f>IF(AND(F90&gt;0,F8=1),1,0)</f>
        <v/>
      </c>
      <c r="G139" s="43">
        <f>IF(AND(G90&gt;0,G8=1),1,0)</f>
        <v/>
      </c>
      <c r="H139" s="43">
        <f>IF(AND(H90&gt;0,H8=1),1,0)</f>
        <v/>
      </c>
      <c r="I139" s="43">
        <f>IF(AND(I90&gt;0,I8=1),1,0)</f>
        <v/>
      </c>
      <c r="J139" s="43">
        <f>IF(AND(J90&gt;0,J8=1),1,0)</f>
        <v/>
      </c>
      <c r="K139" s="43">
        <f>IF(AND(K90&gt;0,K8=1),1,0)</f>
        <v/>
      </c>
      <c r="L139" s="43">
        <f>IF(AND(L90&gt;0,L8=1),1,0)</f>
        <v/>
      </c>
      <c r="M139" s="43">
        <f>IF(AND(M90&gt;0,M8=1),1,0)</f>
        <v/>
      </c>
      <c r="N139" s="43">
        <f>IF(AND(N90&gt;0,N8=1),1,0)</f>
        <v/>
      </c>
      <c r="O139" s="43">
        <f>IF(AND(O90&gt;0,O8=1),1,0)</f>
        <v/>
      </c>
      <c r="P139" s="43">
        <f>IF(AND(P90&gt;0,P8=1),1,0)</f>
        <v/>
      </c>
      <c r="Q139" s="43">
        <f>IF(AND(Q90&gt;0,Q8=1),1,0)</f>
        <v/>
      </c>
      <c r="R139" s="43">
        <f>IF(AND(R90&gt;0,R8=1),1,0)</f>
        <v/>
      </c>
      <c r="S139" s="43">
        <f>IF(AND(S90&gt;0,S8=1),1,0)</f>
        <v/>
      </c>
      <c r="T139" s="43">
        <f>IF(AND(T90&gt;0,T8=1),1,0)</f>
        <v/>
      </c>
      <c r="U139" s="43">
        <f>IF(AND(U90&gt;0,U8=1),1,0)</f>
        <v/>
      </c>
      <c r="V139" s="43">
        <f>IF(AND(V90&gt;0,V8=1),1,0)</f>
        <v/>
      </c>
      <c r="W139" s="43">
        <f>IF(AND(W90&gt;0,W8=1),1,0)</f>
        <v/>
      </c>
      <c r="X139" s="43">
        <f>IF(AND(X90&gt;0,X8=1),1,0)</f>
        <v/>
      </c>
      <c r="Y139" s="43">
        <f>IF(AND(Y90&gt;0,Y8=1),1,0)</f>
        <v/>
      </c>
      <c r="Z139" s="43">
        <f>IF(AND(Z90&gt;0,Z8=1),1,0)</f>
        <v/>
      </c>
      <c r="AA139" s="43">
        <f>IF(AND(AA90&gt;0,AA8=1),1,0)</f>
        <v/>
      </c>
      <c r="AB139" s="43">
        <f>IF(AND(AB90&gt;0,AB8=1),1,0)</f>
        <v/>
      </c>
      <c r="AC139" s="43">
        <f>IF(AND(AC90&gt;0,AC8=1),1,0)</f>
        <v/>
      </c>
      <c r="AD139" s="43">
        <f>IF(AND(AD90&gt;0,AD8=1),1,0)</f>
        <v/>
      </c>
      <c r="AE139" s="43">
        <f>IF(AND(AE90&gt;0,AE8=1),1,0)</f>
        <v/>
      </c>
      <c r="AF139" s="43">
        <f>IF(AND(AF90&gt;0,AF8=1),1,0)</f>
        <v/>
      </c>
      <c r="AG139" s="43">
        <f>IF(AND(AG90&gt;0,AG8=1),1,0)</f>
        <v/>
      </c>
      <c r="AH139" s="43">
        <f>IF(AND(AH90&gt;0,AH8=1),1,0)</f>
        <v/>
      </c>
      <c r="AI139" s="43">
        <f>IF(AND(AI90&gt;0,AI8=1),1,0)</f>
        <v/>
      </c>
      <c r="AJ139" s="43">
        <f>IF(AND(AJ90&gt;0,AJ8=1),1,0)</f>
        <v/>
      </c>
      <c r="AK139" s="43">
        <f>IF(AND(AK90&gt;0,AK8=1),1,0)</f>
        <v/>
      </c>
      <c r="AL139" s="43">
        <f>IF(AND(AL90&gt;0,AL8=1),1,0)</f>
        <v/>
      </c>
      <c r="AM139" s="43">
        <f>IF(AND(AM90&gt;0,AM8=1),1,0)</f>
        <v/>
      </c>
      <c r="AN139" s="43">
        <f>IF(AND(AN90&gt;0,AN8=1),1,0)</f>
        <v/>
      </c>
      <c r="AO139" s="43">
        <f>IF(AND(AO90&gt;0,AO8=1),1,0)</f>
        <v/>
      </c>
      <c r="AP139" s="43">
        <f>IF(AND(AP90&gt;0,AP8=1),1,0)</f>
        <v/>
      </c>
      <c r="AQ139" s="43">
        <f>IF(AND(AQ90&gt;0,AQ8=1),1,0)</f>
        <v/>
      </c>
      <c r="AR139" s="43">
        <f>IF(AND(AR90&gt;0,AR8=1),1,0)</f>
        <v/>
      </c>
      <c r="AS139" s="43">
        <f>IF(AND(AS90&gt;0,AS8=1),1,0)</f>
        <v/>
      </c>
      <c r="AT139" s="43">
        <f>IF(AND(AT90&gt;0,AT8=1),1,0)</f>
        <v/>
      </c>
      <c r="AU139" s="43">
        <f>IF(AND(AU90&gt;0,AU8=1),1,0)</f>
        <v/>
      </c>
      <c r="AV139" s="43">
        <f>IF(AND(AV90&gt;0,AV8=1),1,0)</f>
        <v/>
      </c>
      <c r="AW139" s="43">
        <f>IF(AND(AW90&gt;0,AW8=1),1,0)</f>
        <v/>
      </c>
      <c r="AX139" s="43">
        <f>IF(AND(AX90&gt;0,AX8=1),1,0)</f>
        <v/>
      </c>
      <c r="AY139" s="43">
        <f>IF(AND(AY90&gt;0,AY8=1),1,0)</f>
        <v/>
      </c>
      <c r="AZ139" s="43">
        <f>IF(AND(AZ90&gt;0,AZ8=1),1,0)</f>
        <v/>
      </c>
      <c r="BA139" s="43">
        <f>IF(AND(BA90&gt;0,BA8=1),1,0)</f>
        <v/>
      </c>
      <c r="BB139" s="43">
        <f>IF(AND(BB90&gt;0,BB8=1),1,0)</f>
        <v/>
      </c>
      <c r="BC139" s="43">
        <f>IF(AND(BC90&gt;0,BC8=1),1,0)</f>
        <v/>
      </c>
      <c r="BD139" s="43">
        <f>IF(AND(BD90&gt;0,BD8=1),1,0)</f>
        <v/>
      </c>
      <c r="BE139" s="43">
        <f>IF(AND(BE90&gt;0,BE8=1),1,0)</f>
        <v/>
      </c>
      <c r="BF139" s="43">
        <f>IF(AND(BF90&gt;0,BF8=1),1,0)</f>
        <v/>
      </c>
      <c r="BG139" s="43">
        <f>IF(AND(BG90&gt;0,BG8=1),1,0)</f>
        <v/>
      </c>
      <c r="BH139" s="43">
        <f>IF(AND(BH90&gt;0,BH8=1),1,0)</f>
        <v/>
      </c>
      <c r="BI139" s="43">
        <f>IF(AND(BI90&gt;0,BI8=1),1,0)</f>
        <v/>
      </c>
      <c r="BJ139" s="43">
        <f>IF(AND(BJ90&gt;0,BJ8=1),1,0)</f>
        <v/>
      </c>
      <c r="BK139" s="43">
        <f>IF(AND(BK90&gt;0,BK8=1),1,0)</f>
        <v/>
      </c>
      <c r="BL139" s="43">
        <f>IF(AND(BL90&gt;0,BL8=1),1,0)</f>
        <v/>
      </c>
      <c r="BM139" s="43">
        <f>IF(AND(BM90&gt;0,BM8=1),1,0)</f>
        <v/>
      </c>
    </row>
    <row r="140">
      <c r="A140" s="4" t="inlineStr">
        <is>
          <t>شهور المساهمة الموجبة حتى الآن</t>
        </is>
      </c>
      <c r="B140" s="22" t="inlineStr"/>
      <c r="C140" s="43">
        <f>C139</f>
        <v/>
      </c>
      <c r="D140" s="43">
        <f>C140+D139</f>
        <v/>
      </c>
      <c r="E140" s="43">
        <f>D140+E139</f>
        <v/>
      </c>
      <c r="F140" s="43">
        <f>E140+F139</f>
        <v/>
      </c>
      <c r="G140" s="43">
        <f>F140+G139</f>
        <v/>
      </c>
      <c r="H140" s="43">
        <f>G140+H139</f>
        <v/>
      </c>
      <c r="I140" s="43">
        <f>H140+I139</f>
        <v/>
      </c>
      <c r="J140" s="43">
        <f>I140+J139</f>
        <v/>
      </c>
      <c r="K140" s="43">
        <f>J140+K139</f>
        <v/>
      </c>
      <c r="L140" s="43">
        <f>K140+L139</f>
        <v/>
      </c>
      <c r="M140" s="43">
        <f>L140+M139</f>
        <v/>
      </c>
      <c r="N140" s="43">
        <f>M140+N139</f>
        <v/>
      </c>
      <c r="O140" s="43">
        <f>N140+O139</f>
        <v/>
      </c>
      <c r="P140" s="43">
        <f>O140+P139</f>
        <v/>
      </c>
      <c r="Q140" s="43">
        <f>P140+Q139</f>
        <v/>
      </c>
      <c r="R140" s="43">
        <f>Q140+R139</f>
        <v/>
      </c>
      <c r="S140" s="43">
        <f>R140+S139</f>
        <v/>
      </c>
      <c r="T140" s="43">
        <f>S140+T139</f>
        <v/>
      </c>
      <c r="U140" s="43">
        <f>T140+U139</f>
        <v/>
      </c>
      <c r="V140" s="43">
        <f>U140+V139</f>
        <v/>
      </c>
      <c r="W140" s="43">
        <f>V140+W139</f>
        <v/>
      </c>
      <c r="X140" s="43">
        <f>W140+X139</f>
        <v/>
      </c>
      <c r="Y140" s="43">
        <f>X140+Y139</f>
        <v/>
      </c>
      <c r="Z140" s="43">
        <f>Y140+Z139</f>
        <v/>
      </c>
      <c r="AA140" s="43">
        <f>Z140+AA139</f>
        <v/>
      </c>
      <c r="AB140" s="43">
        <f>AA140+AB139</f>
        <v/>
      </c>
      <c r="AC140" s="43">
        <f>AB140+AC139</f>
        <v/>
      </c>
      <c r="AD140" s="43">
        <f>AC140+AD139</f>
        <v/>
      </c>
      <c r="AE140" s="43">
        <f>AD140+AE139</f>
        <v/>
      </c>
      <c r="AF140" s="43">
        <f>AE140+AF139</f>
        <v/>
      </c>
      <c r="AG140" s="43">
        <f>AF140+AG139</f>
        <v/>
      </c>
      <c r="AH140" s="43">
        <f>AG140+AH139</f>
        <v/>
      </c>
      <c r="AI140" s="43">
        <f>AH140+AI139</f>
        <v/>
      </c>
      <c r="AJ140" s="43">
        <f>AI140+AJ139</f>
        <v/>
      </c>
      <c r="AK140" s="43">
        <f>AJ140+AK139</f>
        <v/>
      </c>
      <c r="AL140" s="43">
        <f>AK140+AL139</f>
        <v/>
      </c>
      <c r="AM140" s="43">
        <f>AL140+AM139</f>
        <v/>
      </c>
      <c r="AN140" s="43">
        <f>AM140+AN139</f>
        <v/>
      </c>
      <c r="AO140" s="43">
        <f>AN140+AO139</f>
        <v/>
      </c>
      <c r="AP140" s="43">
        <f>AO140+AP139</f>
        <v/>
      </c>
      <c r="AQ140" s="43">
        <f>AP140+AQ139</f>
        <v/>
      </c>
      <c r="AR140" s="43">
        <f>AQ140+AR139</f>
        <v/>
      </c>
      <c r="AS140" s="43">
        <f>AR140+AS139</f>
        <v/>
      </c>
      <c r="AT140" s="43">
        <f>AS140+AT139</f>
        <v/>
      </c>
      <c r="AU140" s="43">
        <f>AT140+AU139</f>
        <v/>
      </c>
      <c r="AV140" s="43">
        <f>AU140+AV139</f>
        <v/>
      </c>
      <c r="AW140" s="43">
        <f>AV140+AW139</f>
        <v/>
      </c>
      <c r="AX140" s="43">
        <f>AW140+AX139</f>
        <v/>
      </c>
      <c r="AY140" s="43">
        <f>AX140+AY139</f>
        <v/>
      </c>
      <c r="AZ140" s="43">
        <f>AY140+AZ139</f>
        <v/>
      </c>
      <c r="BA140" s="43">
        <f>AZ140+BA139</f>
        <v/>
      </c>
      <c r="BB140" s="43">
        <f>BA140+BB139</f>
        <v/>
      </c>
      <c r="BC140" s="43">
        <f>BB140+BC139</f>
        <v/>
      </c>
      <c r="BD140" s="43">
        <f>BC140+BD139</f>
        <v/>
      </c>
      <c r="BE140" s="43">
        <f>BD140+BE139</f>
        <v/>
      </c>
      <c r="BF140" s="43">
        <f>BE140+BF139</f>
        <v/>
      </c>
      <c r="BG140" s="43">
        <f>BF140+BG139</f>
        <v/>
      </c>
      <c r="BH140" s="43">
        <f>BG140+BH139</f>
        <v/>
      </c>
      <c r="BI140" s="43">
        <f>BH140+BI139</f>
        <v/>
      </c>
      <c r="BJ140" s="43">
        <f>BI140+BJ139</f>
        <v/>
      </c>
      <c r="BK140" s="43">
        <f>BJ140+BK139</f>
        <v/>
      </c>
      <c r="BL140" s="43">
        <f>BK140+BL139</f>
        <v/>
      </c>
      <c r="BM140" s="43">
        <f>BL140+BM139</f>
        <v/>
      </c>
    </row>
    <row r="141">
      <c r="A141" s="4" t="inlineStr">
        <is>
          <t>أول شهر مساهمة موجبة</t>
        </is>
      </c>
      <c r="B141" s="22" t="inlineStr"/>
      <c r="C141" s="53">
        <f>IF(AND(C139=1,C140=1),C5,0)</f>
        <v/>
      </c>
      <c r="D141" s="53">
        <f>IF(AND(D139=1,D140=1),D5,0)</f>
        <v/>
      </c>
      <c r="E141" s="53">
        <f>IF(AND(E139=1,E140=1),E5,0)</f>
        <v/>
      </c>
      <c r="F141" s="53">
        <f>IF(AND(F139=1,F140=1),F5,0)</f>
        <v/>
      </c>
      <c r="G141" s="53">
        <f>IF(AND(G139=1,G140=1),G5,0)</f>
        <v/>
      </c>
      <c r="H141" s="53">
        <f>IF(AND(H139=1,H140=1),H5,0)</f>
        <v/>
      </c>
      <c r="I141" s="53">
        <f>IF(AND(I139=1,I140=1),I5,0)</f>
        <v/>
      </c>
      <c r="J141" s="53">
        <f>IF(AND(J139=1,J140=1),J5,0)</f>
        <v/>
      </c>
      <c r="K141" s="53">
        <f>IF(AND(K139=1,K140=1),K5,0)</f>
        <v/>
      </c>
      <c r="L141" s="53">
        <f>IF(AND(L139=1,L140=1),L5,0)</f>
        <v/>
      </c>
      <c r="M141" s="53">
        <f>IF(AND(M139=1,M140=1),M5,0)</f>
        <v/>
      </c>
      <c r="N141" s="53">
        <f>IF(AND(N139=1,N140=1),N5,0)</f>
        <v/>
      </c>
      <c r="O141" s="53">
        <f>IF(AND(O139=1,O140=1),O5,0)</f>
        <v/>
      </c>
      <c r="P141" s="53">
        <f>IF(AND(P139=1,P140=1),P5,0)</f>
        <v/>
      </c>
      <c r="Q141" s="53">
        <f>IF(AND(Q139=1,Q140=1),Q5,0)</f>
        <v/>
      </c>
      <c r="R141" s="53">
        <f>IF(AND(R139=1,R140=1),R5,0)</f>
        <v/>
      </c>
      <c r="S141" s="53">
        <f>IF(AND(S139=1,S140=1),S5,0)</f>
        <v/>
      </c>
      <c r="T141" s="53">
        <f>IF(AND(T139=1,T140=1),T5,0)</f>
        <v/>
      </c>
      <c r="U141" s="53">
        <f>IF(AND(U139=1,U140=1),U5,0)</f>
        <v/>
      </c>
      <c r="V141" s="53">
        <f>IF(AND(V139=1,V140=1),V5,0)</f>
        <v/>
      </c>
      <c r="W141" s="53">
        <f>IF(AND(W139=1,W140=1),W5,0)</f>
        <v/>
      </c>
      <c r="X141" s="53">
        <f>IF(AND(X139=1,X140=1),X5,0)</f>
        <v/>
      </c>
      <c r="Y141" s="53">
        <f>IF(AND(Y139=1,Y140=1),Y5,0)</f>
        <v/>
      </c>
      <c r="Z141" s="53">
        <f>IF(AND(Z139=1,Z140=1),Z5,0)</f>
        <v/>
      </c>
      <c r="AA141" s="53">
        <f>IF(AND(AA139=1,AA140=1),AA5,0)</f>
        <v/>
      </c>
      <c r="AB141" s="53">
        <f>IF(AND(AB139=1,AB140=1),AB5,0)</f>
        <v/>
      </c>
      <c r="AC141" s="53">
        <f>IF(AND(AC139=1,AC140=1),AC5,0)</f>
        <v/>
      </c>
      <c r="AD141" s="53">
        <f>IF(AND(AD139=1,AD140=1),AD5,0)</f>
        <v/>
      </c>
      <c r="AE141" s="53">
        <f>IF(AND(AE139=1,AE140=1),AE5,0)</f>
        <v/>
      </c>
      <c r="AF141" s="53">
        <f>IF(AND(AF139=1,AF140=1),AF5,0)</f>
        <v/>
      </c>
      <c r="AG141" s="53">
        <f>IF(AND(AG139=1,AG140=1),AG5,0)</f>
        <v/>
      </c>
      <c r="AH141" s="53">
        <f>IF(AND(AH139=1,AH140=1),AH5,0)</f>
        <v/>
      </c>
      <c r="AI141" s="53">
        <f>IF(AND(AI139=1,AI140=1),AI5,0)</f>
        <v/>
      </c>
      <c r="AJ141" s="53">
        <f>IF(AND(AJ139=1,AJ140=1),AJ5,0)</f>
        <v/>
      </c>
      <c r="AK141" s="53">
        <f>IF(AND(AK139=1,AK140=1),AK5,0)</f>
        <v/>
      </c>
      <c r="AL141" s="53">
        <f>IF(AND(AL139=1,AL140=1),AL5,0)</f>
        <v/>
      </c>
      <c r="AM141" s="53">
        <f>IF(AND(AM139=1,AM140=1),AM5,0)</f>
        <v/>
      </c>
      <c r="AN141" s="53">
        <f>IF(AND(AN139=1,AN140=1),AN5,0)</f>
        <v/>
      </c>
      <c r="AO141" s="53">
        <f>IF(AND(AO139=1,AO140=1),AO5,0)</f>
        <v/>
      </c>
      <c r="AP141" s="53">
        <f>IF(AND(AP139=1,AP140=1),AP5,0)</f>
        <v/>
      </c>
      <c r="AQ141" s="53">
        <f>IF(AND(AQ139=1,AQ140=1),AQ5,0)</f>
        <v/>
      </c>
      <c r="AR141" s="53">
        <f>IF(AND(AR139=1,AR140=1),AR5,0)</f>
        <v/>
      </c>
      <c r="AS141" s="53">
        <f>IF(AND(AS139=1,AS140=1),AS5,0)</f>
        <v/>
      </c>
      <c r="AT141" s="53">
        <f>IF(AND(AT139=1,AT140=1),AT5,0)</f>
        <v/>
      </c>
      <c r="AU141" s="53">
        <f>IF(AND(AU139=1,AU140=1),AU5,0)</f>
        <v/>
      </c>
      <c r="AV141" s="53">
        <f>IF(AND(AV139=1,AV140=1),AV5,0)</f>
        <v/>
      </c>
      <c r="AW141" s="53">
        <f>IF(AND(AW139=1,AW140=1),AW5,0)</f>
        <v/>
      </c>
      <c r="AX141" s="53">
        <f>IF(AND(AX139=1,AX140=1),AX5,0)</f>
        <v/>
      </c>
      <c r="AY141" s="53">
        <f>IF(AND(AY139=1,AY140=1),AY5,0)</f>
        <v/>
      </c>
      <c r="AZ141" s="53">
        <f>IF(AND(AZ139=1,AZ140=1),AZ5,0)</f>
        <v/>
      </c>
      <c r="BA141" s="53">
        <f>IF(AND(BA139=1,BA140=1),BA5,0)</f>
        <v/>
      </c>
      <c r="BB141" s="53">
        <f>IF(AND(BB139=1,BB140=1),BB5,0)</f>
        <v/>
      </c>
      <c r="BC141" s="53">
        <f>IF(AND(BC139=1,BC140=1),BC5,0)</f>
        <v/>
      </c>
      <c r="BD141" s="53">
        <f>IF(AND(BD139=1,BD140=1),BD5,0)</f>
        <v/>
      </c>
      <c r="BE141" s="53">
        <f>IF(AND(BE139=1,BE140=1),BE5,0)</f>
        <v/>
      </c>
      <c r="BF141" s="53">
        <f>IF(AND(BF139=1,BF140=1),BF5,0)</f>
        <v/>
      </c>
      <c r="BG141" s="53">
        <f>IF(AND(BG139=1,BG140=1),BG5,0)</f>
        <v/>
      </c>
      <c r="BH141" s="53">
        <f>IF(AND(BH139=1,BH140=1),BH5,0)</f>
        <v/>
      </c>
      <c r="BI141" s="53">
        <f>IF(AND(BI139=1,BI140=1),BI5,0)</f>
        <v/>
      </c>
      <c r="BJ141" s="53">
        <f>IF(AND(BJ139=1,BJ140=1),BJ5,0)</f>
        <v/>
      </c>
      <c r="BK141" s="53">
        <f>IF(AND(BK139=1,BK140=1),BK5,0)</f>
        <v/>
      </c>
      <c r="BL141" s="53">
        <f>IF(AND(BL139=1,BL140=1),BL5,0)</f>
        <v/>
      </c>
      <c r="BM141" s="53">
        <f>IF(AND(BM139=1,BM140=1),BM5,0)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4"/>
  <sheetViews>
    <sheetView showGridLines="0" rightToLeft="1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39" t="inlineStr">
        <is>
          <t>توّا — الملخص السنوي (ج.م، اسمي)</t>
        </is>
      </c>
    </row>
    <row r="2">
      <c r="A2" s="14" t="inlineStr">
        <is>
          <t>السنة</t>
        </is>
      </c>
      <c r="C2" s="54" t="inlineStr">
        <is>
          <t>2026</t>
        </is>
      </c>
      <c r="D2" s="54" t="inlineStr">
        <is>
          <t>2027</t>
        </is>
      </c>
      <c r="E2" s="54" t="inlineStr">
        <is>
          <t>2028</t>
        </is>
      </c>
      <c r="F2" s="54" t="inlineStr">
        <is>
          <t>2029</t>
        </is>
      </c>
      <c r="G2" s="54" t="inlineStr">
        <is>
          <t>2030</t>
        </is>
      </c>
      <c r="H2" s="54" t="inlineStr">
        <is>
          <t>2031</t>
        </is>
      </c>
    </row>
    <row r="3">
      <c r="C3" s="55" t="inlineStr">
        <is>
          <t>ما قبل الإطلاق</t>
        </is>
      </c>
      <c r="D3" s="55" t="inlineStr">
        <is>
          <t>السنة 1</t>
        </is>
      </c>
      <c r="E3" s="55" t="inlineStr">
        <is>
          <t>السنة 2</t>
        </is>
      </c>
      <c r="F3" s="55" t="inlineStr">
        <is>
          <t>السنة 3</t>
        </is>
      </c>
      <c r="G3" s="55" t="inlineStr">
        <is>
          <t>السنة 4</t>
        </is>
      </c>
      <c r="H3" s="55" t="inlineStr">
        <is>
          <t>السنة 5</t>
        </is>
      </c>
    </row>
    <row r="4"/>
    <row r="5">
      <c r="A5" s="40" t="inlineStr">
        <is>
          <t>العملاء والحجم</t>
        </is>
      </c>
      <c r="B5" s="41" t="n"/>
      <c r="C5" s="41" t="n"/>
      <c r="D5" s="41" t="n"/>
      <c r="E5" s="41" t="n"/>
      <c r="F5" s="41" t="n"/>
      <c r="G5" s="41" t="n"/>
      <c r="H5" s="41" t="n"/>
    </row>
    <row r="6">
      <c r="A6" s="4" t="inlineStr">
        <is>
          <t>المراكز العاملة (ديسمبر)</t>
        </is>
      </c>
      <c r="C6" s="43">
        <f>IFERROR(INDEX('النموذج'!$C$51:$BM$51,MATCH(DATE(2026,12,1),'النموذج'!$C$5:$BM$5,0)),0)</f>
        <v/>
      </c>
      <c r="D6" s="43">
        <f>IFERROR(INDEX('النموذج'!$C$51:$BM$51,MATCH(DATE(2027,12,1),'النموذج'!$C$5:$BM$5,0)),0)</f>
        <v/>
      </c>
      <c r="E6" s="43">
        <f>IFERROR(INDEX('النموذج'!$C$51:$BM$51,MATCH(DATE(2028,12,1),'النموذج'!$C$5:$BM$5,0)),0)</f>
        <v/>
      </c>
      <c r="F6" s="43">
        <f>IFERROR(INDEX('النموذج'!$C$51:$BM$51,MATCH(DATE(2029,12,1),'النموذج'!$C$5:$BM$5,0)),0)</f>
        <v/>
      </c>
      <c r="G6" s="43">
        <f>IFERROR(INDEX('النموذج'!$C$51:$BM$51,MATCH(DATE(2030,12,1),'النموذج'!$C$5:$BM$5,0)),0)</f>
        <v/>
      </c>
      <c r="H6" s="43">
        <f>IFERROR(INDEX('النموذج'!$C$51:$BM$51,MATCH(DATE(2031,12,1),'النموذج'!$C$5:$BM$5,0)),0)</f>
        <v/>
      </c>
    </row>
    <row r="7">
      <c r="A7" s="4" t="inlineStr">
        <is>
          <t>الهبات العاملة (ديسمبر)</t>
        </is>
      </c>
      <c r="C7" s="43">
        <f>IFERROR(INDEX('النموذج'!$C$94:$BM$94,MATCH(DATE(2026,12,1),'النموذج'!$C$5:$BM$5,0)),0)</f>
        <v/>
      </c>
      <c r="D7" s="43">
        <f>IFERROR(INDEX('النموذج'!$C$94:$BM$94,MATCH(DATE(2027,12,1),'النموذج'!$C$5:$BM$5,0)),0)</f>
        <v/>
      </c>
      <c r="E7" s="43">
        <f>IFERROR(INDEX('النموذج'!$C$94:$BM$94,MATCH(DATE(2028,12,1),'النموذج'!$C$5:$BM$5,0)),0)</f>
        <v/>
      </c>
      <c r="F7" s="43">
        <f>IFERROR(INDEX('النموذج'!$C$94:$BM$94,MATCH(DATE(2029,12,1),'النموذج'!$C$5:$BM$5,0)),0)</f>
        <v/>
      </c>
      <c r="G7" s="43">
        <f>IFERROR(INDEX('النموذج'!$C$94:$BM$94,MATCH(DATE(2030,12,1),'النموذج'!$C$5:$BM$5,0)),0)</f>
        <v/>
      </c>
      <c r="H7" s="43">
        <f>IFERROR(INDEX('النموذج'!$C$94:$BM$94,MATCH(DATE(2031,12,1),'النموذج'!$C$5:$BM$5,0)),0)</f>
        <v/>
      </c>
    </row>
    <row r="8">
      <c r="A8" s="4" t="inlineStr">
        <is>
          <t>العملاء النشطون (ديسمبر)</t>
        </is>
      </c>
      <c r="C8" s="45">
        <f>IFERROR(INDEX('النموذج'!$C$52:$BM$52,MATCH(DATE(2026,12,1),'النموذج'!$C$5:$BM$5,0)),0)</f>
        <v/>
      </c>
      <c r="D8" s="45">
        <f>IFERROR(INDEX('النموذج'!$C$52:$BM$52,MATCH(DATE(2027,12,1),'النموذج'!$C$5:$BM$5,0)),0)</f>
        <v/>
      </c>
      <c r="E8" s="45">
        <f>IFERROR(INDEX('النموذج'!$C$52:$BM$52,MATCH(DATE(2028,12,1),'النموذج'!$C$5:$BM$5,0)),0)</f>
        <v/>
      </c>
      <c r="F8" s="45">
        <f>IFERROR(INDEX('النموذج'!$C$52:$BM$52,MATCH(DATE(2029,12,1),'النموذج'!$C$5:$BM$5,0)),0)</f>
        <v/>
      </c>
      <c r="G8" s="45">
        <f>IFERROR(INDEX('النموذج'!$C$52:$BM$52,MATCH(DATE(2030,12,1),'النموذج'!$C$5:$BM$5,0)),0)</f>
        <v/>
      </c>
      <c r="H8" s="45">
        <f>IFERROR(INDEX('النموذج'!$C$52:$BM$52,MATCH(DATE(2031,12,1),'النموذج'!$C$5:$BM$5,0)),0)</f>
        <v/>
      </c>
    </row>
    <row r="9">
      <c r="A9" s="4" t="inlineStr">
        <is>
          <t xml:space="preserve">   منها أبو المطامير</t>
        </is>
      </c>
      <c r="C9" s="45">
        <f>IFERROR(INDEX('النموذج'!$C$20:$BM$20,MATCH(DATE(2026,12,1),'النموذج'!$C$5:$BM$5,0)),0)</f>
        <v/>
      </c>
      <c r="D9" s="45">
        <f>IFERROR(INDEX('النموذج'!$C$20:$BM$20,MATCH(DATE(2027,12,1),'النموذج'!$C$5:$BM$5,0)),0)</f>
        <v/>
      </c>
      <c r="E9" s="45">
        <f>IFERROR(INDEX('النموذج'!$C$20:$BM$20,MATCH(DATE(2028,12,1),'النموذج'!$C$5:$BM$5,0)),0)</f>
        <v/>
      </c>
      <c r="F9" s="45">
        <f>IFERROR(INDEX('النموذج'!$C$20:$BM$20,MATCH(DATE(2029,12,1),'النموذج'!$C$5:$BM$5,0)),0)</f>
        <v/>
      </c>
      <c r="G9" s="45">
        <f>IFERROR(INDEX('النموذج'!$C$20:$BM$20,MATCH(DATE(2030,12,1),'النموذج'!$C$5:$BM$5,0)),0)</f>
        <v/>
      </c>
      <c r="H9" s="45">
        <f>IFERROR(INDEX('النموذج'!$C$20:$BM$20,MATCH(DATE(2031,12,1),'النموذج'!$C$5:$BM$5,0)),0)</f>
        <v/>
      </c>
    </row>
    <row r="10">
      <c r="A10" s="4" t="inlineStr">
        <is>
          <t>العملاء الجدد المكتسبون</t>
        </is>
      </c>
      <c r="C10" s="45">
        <f>SUMIF('النموذج'!$C$6:$BM$6,2026,'النموذج'!$C$18:$BM$18)</f>
        <v/>
      </c>
      <c r="D10" s="45">
        <f>SUMIF('النموذج'!$C$6:$BM$6,2027,'النموذج'!$C$18:$BM$18)</f>
        <v/>
      </c>
      <c r="E10" s="45">
        <f>SUMIF('النموذج'!$C$6:$BM$6,2028,'النموذج'!$C$18:$BM$18)</f>
        <v/>
      </c>
      <c r="F10" s="45">
        <f>SUMIF('النموذج'!$C$6:$BM$6,2029,'النموذج'!$C$18:$BM$18)</f>
        <v/>
      </c>
      <c r="G10" s="45">
        <f>SUMIF('النموذج'!$C$6:$BM$6,2030,'النموذج'!$C$18:$BM$18)</f>
        <v/>
      </c>
      <c r="H10" s="45">
        <f>SUMIF('النموذج'!$C$6:$BM$6,2031,'النموذج'!$C$18:$BM$18)</f>
        <v/>
      </c>
    </row>
    <row r="11">
      <c r="A11" s="15" t="inlineStr">
        <is>
          <t>طلبات العملاء</t>
        </is>
      </c>
      <c r="C11" s="50">
        <f>SUMIF('النموذج'!$C$6:$BM$6,2026,'النموذج'!$C$54:$BM$54)</f>
        <v/>
      </c>
      <c r="D11" s="50">
        <f>SUMIF('النموذج'!$C$6:$BM$6,2027,'النموذج'!$C$54:$BM$54)</f>
        <v/>
      </c>
      <c r="E11" s="50">
        <f>SUMIF('النموذج'!$C$6:$BM$6,2028,'النموذج'!$C$54:$BM$54)</f>
        <v/>
      </c>
      <c r="F11" s="50">
        <f>SUMIF('النموذج'!$C$6:$BM$6,2029,'النموذج'!$C$54:$BM$54)</f>
        <v/>
      </c>
      <c r="G11" s="50">
        <f>SUMIF('النموذج'!$C$6:$BM$6,2030,'النموذج'!$C$54:$BM$54)</f>
        <v/>
      </c>
      <c r="H11" s="50">
        <f>SUMIF('النموذج'!$C$6:$BM$6,2031,'النموذج'!$C$54:$BM$54)</f>
        <v/>
      </c>
    </row>
    <row r="12">
      <c r="A12" s="4" t="inlineStr">
        <is>
          <t xml:space="preserve">   منها أبو المطامير</t>
        </is>
      </c>
      <c r="C12" s="45">
        <f>SUMIF('النموذج'!$C$6:$BM$6,2026,'النموذج'!$C$26:$BM$26)</f>
        <v/>
      </c>
      <c r="D12" s="45">
        <f>SUMIF('النموذج'!$C$6:$BM$6,2027,'النموذج'!$C$26:$BM$26)</f>
        <v/>
      </c>
      <c r="E12" s="45">
        <f>SUMIF('النموذج'!$C$6:$BM$6,2028,'النموذج'!$C$26:$BM$26)</f>
        <v/>
      </c>
      <c r="F12" s="45">
        <f>SUMIF('النموذج'!$C$6:$BM$6,2029,'النموذج'!$C$26:$BM$26)</f>
        <v/>
      </c>
      <c r="G12" s="45">
        <f>SUMIF('النموذج'!$C$6:$BM$6,2030,'النموذج'!$C$26:$BM$26)</f>
        <v/>
      </c>
      <c r="H12" s="45">
        <f>SUMIF('النموذج'!$C$6:$BM$6,2031,'النموذج'!$C$26:$BM$26)</f>
        <v/>
      </c>
    </row>
    <row r="13">
      <c r="A13" s="4" t="inlineStr">
        <is>
          <t>طلبات/يوم (ديسمبر)</t>
        </is>
      </c>
      <c r="C13" s="45">
        <f>IFERROR(INDEX('النموذج'!$C$55:$BM$55,MATCH(DATE(2026,12,1),'النموذج'!$C$5:$BM$5,0)),0)</f>
        <v/>
      </c>
      <c r="D13" s="45">
        <f>IFERROR(INDEX('النموذج'!$C$55:$BM$55,MATCH(DATE(2027,12,1),'النموذج'!$C$5:$BM$5,0)),0)</f>
        <v/>
      </c>
      <c r="E13" s="45">
        <f>IFERROR(INDEX('النموذج'!$C$55:$BM$55,MATCH(DATE(2028,12,1),'النموذج'!$C$5:$BM$5,0)),0)</f>
        <v/>
      </c>
      <c r="F13" s="45">
        <f>IFERROR(INDEX('النموذج'!$C$55:$BM$55,MATCH(DATE(2029,12,1),'النموذج'!$C$5:$BM$5,0)),0)</f>
        <v/>
      </c>
      <c r="G13" s="45">
        <f>IFERROR(INDEX('النموذج'!$C$55:$BM$55,MATCH(DATE(2030,12,1),'النموذج'!$C$5:$BM$5,0)),0)</f>
        <v/>
      </c>
      <c r="H13" s="45">
        <f>IFERROR(INDEX('النموذج'!$C$55:$BM$55,MATCH(DATE(2031,12,1),'النموذج'!$C$5:$BM$5,0)),0)</f>
        <v/>
      </c>
    </row>
    <row r="14">
      <c r="A14" s="4" t="inlineStr">
        <is>
          <t>توصيلات التوصيل كخدمة</t>
        </is>
      </c>
      <c r="C14" s="45">
        <f>SUMIF('النموذج'!$C$6:$BM$6,2026,'النموذج'!$C$56:$BM$56)</f>
        <v/>
      </c>
      <c r="D14" s="45">
        <f>SUMIF('النموذج'!$C$6:$BM$6,2027,'النموذج'!$C$56:$BM$56)</f>
        <v/>
      </c>
      <c r="E14" s="45">
        <f>SUMIF('النموذج'!$C$6:$BM$6,2028,'النموذج'!$C$56:$BM$56)</f>
        <v/>
      </c>
      <c r="F14" s="45">
        <f>SUMIF('النموذج'!$C$6:$BM$6,2029,'النموذج'!$C$56:$BM$56)</f>
        <v/>
      </c>
      <c r="G14" s="45">
        <f>SUMIF('النموذج'!$C$6:$BM$6,2030,'النموذج'!$C$56:$BM$56)</f>
        <v/>
      </c>
      <c r="H14" s="45">
        <f>SUMIF('النموذج'!$C$6:$BM$6,2031,'النموذج'!$C$56:$BM$56)</f>
        <v/>
      </c>
    </row>
    <row r="15">
      <c r="A15" s="15" t="inlineStr">
        <is>
          <t>قيمة الطلبات (GMV)</t>
        </is>
      </c>
      <c r="C15" s="50">
        <f>SUMIF('النموذج'!$C$6:$BM$6,2026,'النموذج'!$C$58:$BM$58)</f>
        <v/>
      </c>
      <c r="D15" s="50">
        <f>SUMIF('النموذج'!$C$6:$BM$6,2027,'النموذج'!$C$58:$BM$58)</f>
        <v/>
      </c>
      <c r="E15" s="50">
        <f>SUMIF('النموذج'!$C$6:$BM$6,2028,'النموذج'!$C$58:$BM$58)</f>
        <v/>
      </c>
      <c r="F15" s="50">
        <f>SUMIF('النموذج'!$C$6:$BM$6,2029,'النموذج'!$C$58:$BM$58)</f>
        <v/>
      </c>
      <c r="G15" s="50">
        <f>SUMIF('النموذج'!$C$6:$BM$6,2030,'النموذج'!$C$58:$BM$58)</f>
        <v/>
      </c>
      <c r="H15" s="50">
        <f>SUMIF('النموذج'!$C$6:$BM$6,2031,'النموذج'!$C$58:$BM$58)</f>
        <v/>
      </c>
    </row>
    <row r="16"/>
    <row r="17">
      <c r="A17" s="40" t="inlineStr">
        <is>
          <t>مصادر الإيراد</t>
        </is>
      </c>
      <c r="B17" s="41" t="n"/>
      <c r="C17" s="41" t="n"/>
      <c r="D17" s="41" t="n"/>
      <c r="E17" s="41" t="n"/>
      <c r="F17" s="41" t="n"/>
      <c r="G17" s="41" t="n"/>
      <c r="H17" s="41" t="n"/>
    </row>
    <row r="18">
      <c r="A18" s="4" t="inlineStr">
        <is>
          <t>1. مبيعات المنتجات (مخزون مملوك)</t>
        </is>
      </c>
      <c r="C18" s="45">
        <f>SUMIF('النموذج'!$C$6:$BM$6,2026,'النموذج'!$C$64:$BM$64)</f>
        <v/>
      </c>
      <c r="D18" s="45">
        <f>SUMIF('النموذج'!$C$6:$BM$6,2027,'النموذج'!$C$64:$BM$64)</f>
        <v/>
      </c>
      <c r="E18" s="45">
        <f>SUMIF('النموذج'!$C$6:$BM$6,2028,'النموذج'!$C$64:$BM$64)</f>
        <v/>
      </c>
      <c r="F18" s="45">
        <f>SUMIF('النموذج'!$C$6:$BM$6,2029,'النموذج'!$C$64:$BM$64)</f>
        <v/>
      </c>
      <c r="G18" s="45">
        <f>SUMIF('النموذج'!$C$6:$BM$6,2030,'النموذج'!$C$64:$BM$64)</f>
        <v/>
      </c>
      <c r="H18" s="45">
        <f>SUMIF('النموذج'!$C$6:$BM$6,2031,'النموذج'!$C$64:$BM$64)</f>
        <v/>
      </c>
    </row>
    <row r="19">
      <c r="A19" s="4" t="inlineStr">
        <is>
          <t>2. عمولة السوق والصيدليات</t>
        </is>
      </c>
      <c r="C19" s="45">
        <f>SUMIF('النموذج'!$C$6:$BM$6,2026,'النموذج'!$C$65:$BM$65)</f>
        <v/>
      </c>
      <c r="D19" s="45">
        <f>SUMIF('النموذج'!$C$6:$BM$6,2027,'النموذج'!$C$65:$BM$65)</f>
        <v/>
      </c>
      <c r="E19" s="45">
        <f>SUMIF('النموذج'!$C$6:$BM$6,2028,'النموذج'!$C$65:$BM$65)</f>
        <v/>
      </c>
      <c r="F19" s="45">
        <f>SUMIF('النموذج'!$C$6:$BM$6,2029,'النموذج'!$C$65:$BM$65)</f>
        <v/>
      </c>
      <c r="G19" s="45">
        <f>SUMIF('النموذج'!$C$6:$BM$6,2030,'النموذج'!$C$65:$BM$65)</f>
        <v/>
      </c>
      <c r="H19" s="45">
        <f>SUMIF('النموذج'!$C$6:$BM$6,2031,'النموذج'!$C$65:$BM$65)</f>
        <v/>
      </c>
    </row>
    <row r="20">
      <c r="A20" s="4" t="inlineStr">
        <is>
          <t>3. عمولة المطاعم</t>
        </is>
      </c>
      <c r="C20" s="45">
        <f>SUMIF('النموذج'!$C$6:$BM$6,2026,'النموذج'!$C$66:$BM$66)</f>
        <v/>
      </c>
      <c r="D20" s="45">
        <f>SUMIF('النموذج'!$C$6:$BM$6,2027,'النموذج'!$C$66:$BM$66)</f>
        <v/>
      </c>
      <c r="E20" s="45">
        <f>SUMIF('النموذج'!$C$6:$BM$6,2028,'النموذج'!$C$66:$BM$66)</f>
        <v/>
      </c>
      <c r="F20" s="45">
        <f>SUMIF('النموذج'!$C$6:$BM$6,2029,'النموذج'!$C$66:$BM$66)</f>
        <v/>
      </c>
      <c r="G20" s="45">
        <f>SUMIF('النموذج'!$C$6:$BM$6,2030,'النموذج'!$C$66:$BM$66)</f>
        <v/>
      </c>
      <c r="H20" s="45">
        <f>SUMIF('النموذج'!$C$6:$BM$6,2031,'النموذج'!$C$66:$BM$66)</f>
        <v/>
      </c>
    </row>
    <row r="21">
      <c r="A21" s="4" t="inlineStr">
        <is>
          <t>4. رسوم التوصيل</t>
        </is>
      </c>
      <c r="C21" s="45">
        <f>SUMIF('النموذج'!$C$6:$BM$6,2026,'النموذج'!$C$68:$BM$68)</f>
        <v/>
      </c>
      <c r="D21" s="45">
        <f>SUMIF('النموذج'!$C$6:$BM$6,2027,'النموذج'!$C$68:$BM$68)</f>
        <v/>
      </c>
      <c r="E21" s="45">
        <f>SUMIF('النموذج'!$C$6:$BM$6,2028,'النموذج'!$C$68:$BM$68)</f>
        <v/>
      </c>
      <c r="F21" s="45">
        <f>SUMIF('النموذج'!$C$6:$BM$6,2029,'النموذج'!$C$68:$BM$68)</f>
        <v/>
      </c>
      <c r="G21" s="45">
        <f>SUMIF('النموذج'!$C$6:$BM$6,2030,'النموذج'!$C$68:$BM$68)</f>
        <v/>
      </c>
      <c r="H21" s="45">
        <f>SUMIF('النموذج'!$C$6:$BM$6,2031,'النموذج'!$C$68:$BM$68)</f>
        <v/>
      </c>
    </row>
    <row r="22">
      <c r="A22" s="4" t="inlineStr">
        <is>
          <t>5. رسوم الخدمة</t>
        </is>
      </c>
      <c r="C22" s="45">
        <f>SUMIF('النموذج'!$C$6:$BM$6,2026,'النموذج'!$C$69:$BM$69)</f>
        <v/>
      </c>
      <c r="D22" s="45">
        <f>SUMIF('النموذج'!$C$6:$BM$6,2027,'النموذج'!$C$69:$BM$69)</f>
        <v/>
      </c>
      <c r="E22" s="45">
        <f>SUMIF('النموذج'!$C$6:$BM$6,2028,'النموذج'!$C$69:$BM$69)</f>
        <v/>
      </c>
      <c r="F22" s="45">
        <f>SUMIF('النموذج'!$C$6:$BM$6,2029,'النموذج'!$C$69:$BM$69)</f>
        <v/>
      </c>
      <c r="G22" s="45">
        <f>SUMIF('النموذج'!$C$6:$BM$6,2030,'النموذج'!$C$69:$BM$69)</f>
        <v/>
      </c>
      <c r="H22" s="45">
        <f>SUMIF('النموذج'!$C$6:$BM$6,2031,'النموذج'!$C$69:$BM$69)</f>
        <v/>
      </c>
    </row>
    <row r="23">
      <c r="A23" s="4" t="inlineStr">
        <is>
          <t>6. اشتراكات توّا+</t>
        </is>
      </c>
      <c r="C23" s="45">
        <f>SUMIF('النموذج'!$C$6:$BM$6,2026,'النموذج'!$C$70:$BM$70)</f>
        <v/>
      </c>
      <c r="D23" s="45">
        <f>SUMIF('النموذج'!$C$6:$BM$6,2027,'النموذج'!$C$70:$BM$70)</f>
        <v/>
      </c>
      <c r="E23" s="45">
        <f>SUMIF('النموذج'!$C$6:$BM$6,2028,'النموذج'!$C$70:$BM$70)</f>
        <v/>
      </c>
      <c r="F23" s="45">
        <f>SUMIF('النموذج'!$C$6:$BM$6,2029,'النموذج'!$C$70:$BM$70)</f>
        <v/>
      </c>
      <c r="G23" s="45">
        <f>SUMIF('النموذج'!$C$6:$BM$6,2030,'النموذج'!$C$70:$BM$70)</f>
        <v/>
      </c>
      <c r="H23" s="45">
        <f>SUMIF('النموذج'!$C$6:$BM$6,2031,'النموذج'!$C$70:$BM$70)</f>
        <v/>
      </c>
    </row>
    <row r="24">
      <c r="A24" s="4" t="inlineStr">
        <is>
          <t>7. رسوم التوصيل كخدمة</t>
        </is>
      </c>
      <c r="C24" s="45">
        <f>SUMIF('النموذج'!$C$6:$BM$6,2026,'النموذج'!$C$71:$BM$71)</f>
        <v/>
      </c>
      <c r="D24" s="45">
        <f>SUMIF('النموذج'!$C$6:$BM$6,2027,'النموذج'!$C$71:$BM$71)</f>
        <v/>
      </c>
      <c r="E24" s="45">
        <f>SUMIF('النموذج'!$C$6:$BM$6,2028,'النموذج'!$C$71:$BM$71)</f>
        <v/>
      </c>
      <c r="F24" s="45">
        <f>SUMIF('النموذج'!$C$6:$BM$6,2029,'النموذج'!$C$71:$BM$71)</f>
        <v/>
      </c>
      <c r="G24" s="45">
        <f>SUMIF('النموذج'!$C$6:$BM$6,2030,'النموذج'!$C$71:$BM$71)</f>
        <v/>
      </c>
      <c r="H24" s="45">
        <f>SUMIF('النموذج'!$C$6:$BM$6,2031,'النموذج'!$C$71:$BM$71)</f>
        <v/>
      </c>
    </row>
    <row r="25">
      <c r="A25" s="4" t="inlineStr">
        <is>
          <t>8. إعلانات التطبيق</t>
        </is>
      </c>
      <c r="C25" s="45">
        <f>SUMIF('النموذج'!$C$6:$BM$6,2026,'النموذج'!$C$72:$BM$72)</f>
        <v/>
      </c>
      <c r="D25" s="45">
        <f>SUMIF('النموذج'!$C$6:$BM$6,2027,'النموذج'!$C$72:$BM$72)</f>
        <v/>
      </c>
      <c r="E25" s="45">
        <f>SUMIF('النموذج'!$C$6:$BM$6,2028,'النموذج'!$C$72:$BM$72)</f>
        <v/>
      </c>
      <c r="F25" s="45">
        <f>SUMIF('النموذج'!$C$6:$BM$6,2029,'النموذج'!$C$72:$BM$72)</f>
        <v/>
      </c>
      <c r="G25" s="45">
        <f>SUMIF('النموذج'!$C$6:$BM$6,2030,'النموذج'!$C$72:$BM$72)</f>
        <v/>
      </c>
      <c r="H25" s="45">
        <f>SUMIF('النموذج'!$C$6:$BM$6,2031,'النموذج'!$C$72:$BM$72)</f>
        <v/>
      </c>
    </row>
    <row r="26">
      <c r="A26" s="4" t="inlineStr">
        <is>
          <t>9. حوافز الموردين</t>
        </is>
      </c>
      <c r="C26" s="45">
        <f>SUMIF('النموذج'!$C$6:$BM$6,2026,'النموذج'!$C$73:$BM$73)</f>
        <v/>
      </c>
      <c r="D26" s="45">
        <f>SUMIF('النموذج'!$C$6:$BM$6,2027,'النموذج'!$C$73:$BM$73)</f>
        <v/>
      </c>
      <c r="E26" s="45">
        <f>SUMIF('النموذج'!$C$6:$BM$6,2028,'النموذج'!$C$73:$BM$73)</f>
        <v/>
      </c>
      <c r="F26" s="45">
        <f>SUMIF('النموذج'!$C$6:$BM$6,2029,'النموذج'!$C$73:$BM$73)</f>
        <v/>
      </c>
      <c r="G26" s="45">
        <f>SUMIF('النموذج'!$C$6:$BM$6,2030,'النموذج'!$C$73:$BM$73)</f>
        <v/>
      </c>
      <c r="H26" s="45">
        <f>SUMIF('النموذج'!$C$6:$BM$6,2031,'النموذج'!$C$73:$BM$73)</f>
        <v/>
      </c>
    </row>
    <row r="27">
      <c r="A27" s="15" t="inlineStr">
        <is>
          <t>صافي الإيراد</t>
        </is>
      </c>
      <c r="C27" s="50">
        <f>SUMIF('النموذج'!$C$6:$BM$6,2026,'النموذج'!$C$74:$BM$74)</f>
        <v/>
      </c>
      <c r="D27" s="50">
        <f>SUMIF('النموذج'!$C$6:$BM$6,2027,'النموذج'!$C$74:$BM$74)</f>
        <v/>
      </c>
      <c r="E27" s="50">
        <f>SUMIF('النموذج'!$C$6:$BM$6,2028,'النموذج'!$C$74:$BM$74)</f>
        <v/>
      </c>
      <c r="F27" s="50">
        <f>SUMIF('النموذج'!$C$6:$BM$6,2029,'النموذج'!$C$74:$BM$74)</f>
        <v/>
      </c>
      <c r="G27" s="50">
        <f>SUMIF('النموذج'!$C$6:$BM$6,2030,'النموذج'!$C$74:$BM$74)</f>
        <v/>
      </c>
      <c r="H27" s="50">
        <f>SUMIF('النموذج'!$C$6:$BM$6,2031,'النموذج'!$C$74:$BM$74)</f>
        <v/>
      </c>
    </row>
    <row r="28">
      <c r="A28" s="4" t="inlineStr">
        <is>
          <t>تكلفة البضاعة المباعة</t>
        </is>
      </c>
      <c r="C28" s="45">
        <f>SUMIF('النموذج'!$C$6:$BM$6,2026,'النموذج'!$C$75:$BM$75)</f>
        <v/>
      </c>
      <c r="D28" s="45">
        <f>SUMIF('النموذج'!$C$6:$BM$6,2027,'النموذج'!$C$75:$BM$75)</f>
        <v/>
      </c>
      <c r="E28" s="45">
        <f>SUMIF('النموذج'!$C$6:$BM$6,2028,'النموذج'!$C$75:$BM$75)</f>
        <v/>
      </c>
      <c r="F28" s="45">
        <f>SUMIF('النموذج'!$C$6:$BM$6,2029,'النموذج'!$C$75:$BM$75)</f>
        <v/>
      </c>
      <c r="G28" s="45">
        <f>SUMIF('النموذج'!$C$6:$BM$6,2030,'النموذج'!$C$75:$BM$75)</f>
        <v/>
      </c>
      <c r="H28" s="45">
        <f>SUMIF('النموذج'!$C$6:$BM$6,2031,'النموذج'!$C$75:$BM$75)</f>
        <v/>
      </c>
    </row>
    <row r="29">
      <c r="A29" s="15" t="inlineStr">
        <is>
          <t>مجمل الربح</t>
        </is>
      </c>
      <c r="C29" s="50">
        <f>SUMIF('النموذج'!$C$6:$BM$6,2026,'النموذج'!$C$76:$BM$76)</f>
        <v/>
      </c>
      <c r="D29" s="50">
        <f>SUMIF('النموذج'!$C$6:$BM$6,2027,'النموذج'!$C$76:$BM$76)</f>
        <v/>
      </c>
      <c r="E29" s="50">
        <f>SUMIF('النموذج'!$C$6:$BM$6,2028,'النموذج'!$C$76:$BM$76)</f>
        <v/>
      </c>
      <c r="F29" s="50">
        <f>SUMIF('النموذج'!$C$6:$BM$6,2029,'النموذج'!$C$76:$BM$76)</f>
        <v/>
      </c>
      <c r="G29" s="50">
        <f>SUMIF('النموذج'!$C$6:$BM$6,2030,'النموذج'!$C$76:$BM$76)</f>
        <v/>
      </c>
      <c r="H29" s="50">
        <f>SUMIF('النموذج'!$C$6:$BM$6,2031,'النموذج'!$C$76:$BM$76)</f>
        <v/>
      </c>
    </row>
    <row r="30">
      <c r="A30" s="4" t="inlineStr">
        <is>
          <t>مجمل الربح % من GMV (نسبة الاستقطاع)</t>
        </is>
      </c>
      <c r="C30" s="29">
        <f>IF(C15&gt;0,C29/C15,0)</f>
        <v/>
      </c>
      <c r="D30" s="29">
        <f>IF(D15&gt;0,D29/D15,0)</f>
        <v/>
      </c>
      <c r="E30" s="29">
        <f>IF(E15&gt;0,E29/E15,0)</f>
        <v/>
      </c>
      <c r="F30" s="29">
        <f>IF(F15&gt;0,F29/F15,0)</f>
        <v/>
      </c>
      <c r="G30" s="29">
        <f>IF(G15&gt;0,G29/G15,0)</f>
        <v/>
      </c>
      <c r="H30" s="29">
        <f>IF(H15&gt;0,H29/H15,0)</f>
        <v/>
      </c>
    </row>
    <row r="31"/>
    <row r="32">
      <c r="A32" s="40" t="inlineStr">
        <is>
          <t>التكاليف والربحية</t>
        </is>
      </c>
      <c r="B32" s="41" t="n"/>
      <c r="C32" s="41" t="n"/>
      <c r="D32" s="41" t="n"/>
      <c r="E32" s="41" t="n"/>
      <c r="F32" s="41" t="n"/>
      <c r="G32" s="41" t="n"/>
      <c r="H32" s="41" t="n"/>
    </row>
    <row r="33">
      <c r="A33" s="4" t="inlineStr">
        <is>
          <t>التكاليف المتغيرة</t>
        </is>
      </c>
      <c r="C33" s="45">
        <f>SUMIF('النموذج'!$C$6:$BM$6,2026,'النموذج'!$C$89:$BM$89)</f>
        <v/>
      </c>
      <c r="D33" s="45">
        <f>SUMIF('النموذج'!$C$6:$BM$6,2027,'النموذج'!$C$89:$BM$89)</f>
        <v/>
      </c>
      <c r="E33" s="45">
        <f>SUMIF('النموذج'!$C$6:$BM$6,2028,'النموذج'!$C$89:$BM$89)</f>
        <v/>
      </c>
      <c r="F33" s="45">
        <f>SUMIF('النموذج'!$C$6:$BM$6,2029,'النموذج'!$C$89:$BM$89)</f>
        <v/>
      </c>
      <c r="G33" s="45">
        <f>SUMIF('النموذج'!$C$6:$BM$6,2030,'النموذج'!$C$89:$BM$89)</f>
        <v/>
      </c>
      <c r="H33" s="45">
        <f>SUMIF('النموذج'!$C$6:$BM$6,2031,'النموذج'!$C$89:$BM$89)</f>
        <v/>
      </c>
    </row>
    <row r="34">
      <c r="A34" s="4" t="inlineStr">
        <is>
          <t xml:space="preserve">   منها تكلفة المندوب</t>
        </is>
      </c>
      <c r="C34" s="45">
        <f>SUMIF('النموذج'!$C$6:$BM$6,2026,'النموذج'!$C$81:$BM$81)</f>
        <v/>
      </c>
      <c r="D34" s="45">
        <f>SUMIF('النموذج'!$C$6:$BM$6,2027,'النموذج'!$C$81:$BM$81)</f>
        <v/>
      </c>
      <c r="E34" s="45">
        <f>SUMIF('النموذج'!$C$6:$BM$6,2028,'النموذج'!$C$81:$BM$81)</f>
        <v/>
      </c>
      <c r="F34" s="45">
        <f>SUMIF('النموذج'!$C$6:$BM$6,2029,'النموذج'!$C$81:$BM$81)</f>
        <v/>
      </c>
      <c r="G34" s="45">
        <f>SUMIF('النموذج'!$C$6:$BM$6,2030,'النموذج'!$C$81:$BM$81)</f>
        <v/>
      </c>
      <c r="H34" s="45">
        <f>SUMIF('النموذج'!$C$6:$BM$6,2031,'النموذج'!$C$81:$BM$81)</f>
        <v/>
      </c>
    </row>
    <row r="35">
      <c r="A35" s="4" t="inlineStr">
        <is>
          <t xml:space="preserve">   منها عروض العملاء</t>
        </is>
      </c>
      <c r="C35" s="45">
        <f>SUMIF('النموذج'!$C$6:$BM$6,2026,'النموذج'!$C$85:$BM$85)</f>
        <v/>
      </c>
      <c r="D35" s="45">
        <f>SUMIF('النموذج'!$C$6:$BM$6,2027,'النموذج'!$C$85:$BM$85)</f>
        <v/>
      </c>
      <c r="E35" s="45">
        <f>SUMIF('النموذج'!$C$6:$BM$6,2028,'النموذج'!$C$85:$BM$85)</f>
        <v/>
      </c>
      <c r="F35" s="45">
        <f>SUMIF('النموذج'!$C$6:$BM$6,2029,'النموذج'!$C$85:$BM$85)</f>
        <v/>
      </c>
      <c r="G35" s="45">
        <f>SUMIF('النموذج'!$C$6:$BM$6,2030,'النموذج'!$C$85:$BM$85)</f>
        <v/>
      </c>
      <c r="H35" s="45">
        <f>SUMIF('النموذج'!$C$6:$BM$6,2031,'النموذج'!$C$85:$BM$85)</f>
        <v/>
      </c>
    </row>
    <row r="36">
      <c r="A36" s="15" t="inlineStr">
        <is>
          <t>هامش المساهمة</t>
        </is>
      </c>
      <c r="C36" s="50">
        <f>SUMIF('النموذج'!$C$6:$BM$6,2026,'النموذج'!$C$90:$BM$90)</f>
        <v/>
      </c>
      <c r="D36" s="50">
        <f>SUMIF('النموذج'!$C$6:$BM$6,2027,'النموذج'!$C$90:$BM$90)</f>
        <v/>
      </c>
      <c r="E36" s="50">
        <f>SUMIF('النموذج'!$C$6:$BM$6,2028,'النموذج'!$C$90:$BM$90)</f>
        <v/>
      </c>
      <c r="F36" s="50">
        <f>SUMIF('النموذج'!$C$6:$BM$6,2029,'النموذج'!$C$90:$BM$90)</f>
        <v/>
      </c>
      <c r="G36" s="50">
        <f>SUMIF('النموذج'!$C$6:$BM$6,2030,'النموذج'!$C$90:$BM$90)</f>
        <v/>
      </c>
      <c r="H36" s="50">
        <f>SUMIF('النموذج'!$C$6:$BM$6,2031,'النموذج'!$C$90:$BM$90)</f>
        <v/>
      </c>
    </row>
    <row r="37">
      <c r="A37" s="4" t="inlineStr">
        <is>
          <t>المساهمة لكل طلب</t>
        </is>
      </c>
      <c r="C37" s="51">
        <f>IF(C11&gt;0,C36/C11,0)</f>
        <v/>
      </c>
      <c r="D37" s="51">
        <f>IF(D11&gt;0,D36/D11,0)</f>
        <v/>
      </c>
      <c r="E37" s="51">
        <f>IF(E11&gt;0,E36/E11,0)</f>
        <v/>
      </c>
      <c r="F37" s="51">
        <f>IF(F11&gt;0,F36/F11,0)</f>
        <v/>
      </c>
      <c r="G37" s="51">
        <f>IF(G11&gt;0,G36/G11,0)</f>
        <v/>
      </c>
      <c r="H37" s="51">
        <f>IF(H11&gt;0,H36/H11,0)</f>
        <v/>
      </c>
    </row>
    <row r="38">
      <c r="A38" s="4" t="inlineStr">
        <is>
          <t>المصروفات التشغيلية (شامل الاستحواذ)</t>
        </is>
      </c>
      <c r="C38" s="45">
        <f>SUMIF('النموذج'!$C$6:$BM$6,2026,'النموذج'!$C$104:$BM$104)</f>
        <v/>
      </c>
      <c r="D38" s="45">
        <f>SUMIF('النموذج'!$C$6:$BM$6,2027,'النموذج'!$C$104:$BM$104)</f>
        <v/>
      </c>
      <c r="E38" s="45">
        <f>SUMIF('النموذج'!$C$6:$BM$6,2028,'النموذج'!$C$104:$BM$104)</f>
        <v/>
      </c>
      <c r="F38" s="45">
        <f>SUMIF('النموذج'!$C$6:$BM$6,2029,'النموذج'!$C$104:$BM$104)</f>
        <v/>
      </c>
      <c r="G38" s="45">
        <f>SUMIF('النموذج'!$C$6:$BM$6,2030,'النموذج'!$C$104:$BM$104)</f>
        <v/>
      </c>
      <c r="H38" s="45">
        <f>SUMIF('النموذج'!$C$6:$BM$6,2031,'النموذج'!$C$104:$BM$104)</f>
        <v/>
      </c>
    </row>
    <row r="39">
      <c r="A39" s="4" t="inlineStr">
        <is>
          <t xml:space="preserve">   منها تسويق الاستحواذ</t>
        </is>
      </c>
      <c r="C39" s="45">
        <f>SUMIF('النموذج'!$C$6:$BM$6,2026,'النموذج'!$C$103:$BM$103)</f>
        <v/>
      </c>
      <c r="D39" s="45">
        <f>SUMIF('النموذج'!$C$6:$BM$6,2027,'النموذج'!$C$103:$BM$103)</f>
        <v/>
      </c>
      <c r="E39" s="45">
        <f>SUMIF('النموذج'!$C$6:$BM$6,2028,'النموذج'!$C$103:$BM$103)</f>
        <v/>
      </c>
      <c r="F39" s="45">
        <f>SUMIF('النموذج'!$C$6:$BM$6,2029,'النموذج'!$C$103:$BM$103)</f>
        <v/>
      </c>
      <c r="G39" s="45">
        <f>SUMIF('النموذج'!$C$6:$BM$6,2030,'النموذج'!$C$103:$BM$103)</f>
        <v/>
      </c>
      <c r="H39" s="45">
        <f>SUMIF('النموذج'!$C$6:$BM$6,2031,'النموذج'!$C$103:$BM$103)</f>
        <v/>
      </c>
    </row>
    <row r="40">
      <c r="A40" s="4" t="inlineStr">
        <is>
          <t>التكاليف المركزية (تقنية، إدارة ومصروفات عمومية، علامة)</t>
        </is>
      </c>
      <c r="C40" s="45">
        <f>SUMIF('النموذج'!$C$6:$BM$6,2026,'النموذج'!$C$106:$BM$106)</f>
        <v/>
      </c>
      <c r="D40" s="45">
        <f>SUMIF('النموذج'!$C$6:$BM$6,2027,'النموذج'!$C$106:$BM$106)</f>
        <v/>
      </c>
      <c r="E40" s="45">
        <f>SUMIF('النموذج'!$C$6:$BM$6,2028,'النموذج'!$C$106:$BM$106)</f>
        <v/>
      </c>
      <c r="F40" s="45">
        <f>SUMIF('النموذج'!$C$6:$BM$6,2029,'النموذج'!$C$106:$BM$106)</f>
        <v/>
      </c>
      <c r="G40" s="45">
        <f>SUMIF('النموذج'!$C$6:$BM$6,2030,'النموذج'!$C$106:$BM$106)</f>
        <v/>
      </c>
      <c r="H40" s="45">
        <f>SUMIF('النموذج'!$C$6:$BM$6,2031,'النموذج'!$C$106:$BM$106)</f>
        <v/>
      </c>
    </row>
    <row r="41">
      <c r="A41" s="15" t="inlineStr">
        <is>
          <t>EBITDA على مستوى المركز (قبل التكاليف المركزية)</t>
        </is>
      </c>
      <c r="C41" s="50">
        <f>SUMIF('النموذج'!$C$6:$BM$6,2026,'النموذج'!$C$107:$BM$107)</f>
        <v/>
      </c>
      <c r="D41" s="50">
        <f>SUMIF('النموذج'!$C$6:$BM$6,2027,'النموذج'!$C$107:$BM$107)</f>
        <v/>
      </c>
      <c r="E41" s="50">
        <f>SUMIF('النموذج'!$C$6:$BM$6,2028,'النموذج'!$C$107:$BM$107)</f>
        <v/>
      </c>
      <c r="F41" s="50">
        <f>SUMIF('النموذج'!$C$6:$BM$6,2029,'النموذج'!$C$107:$BM$107)</f>
        <v/>
      </c>
      <c r="G41" s="50">
        <f>SUMIF('النموذج'!$C$6:$BM$6,2030,'النموذج'!$C$107:$BM$107)</f>
        <v/>
      </c>
      <c r="H41" s="50">
        <f>SUMIF('النموذج'!$C$6:$BM$6,2031,'النموذج'!$C$107:$BM$107)</f>
        <v/>
      </c>
    </row>
    <row r="42">
      <c r="A42" s="15" t="inlineStr">
        <is>
          <t>EBITDA</t>
        </is>
      </c>
      <c r="C42" s="50">
        <f>SUMIF('النموذج'!$C$6:$BM$6,2026,'النموذج'!$C$105:$BM$105)</f>
        <v/>
      </c>
      <c r="D42" s="50">
        <f>SUMIF('النموذج'!$C$6:$BM$6,2027,'النموذج'!$C$105:$BM$105)</f>
        <v/>
      </c>
      <c r="E42" s="50">
        <f>SUMIF('النموذج'!$C$6:$BM$6,2028,'النموذج'!$C$105:$BM$105)</f>
        <v/>
      </c>
      <c r="F42" s="50">
        <f>SUMIF('النموذج'!$C$6:$BM$6,2029,'النموذج'!$C$105:$BM$105)</f>
        <v/>
      </c>
      <c r="G42" s="50">
        <f>SUMIF('النموذج'!$C$6:$BM$6,2030,'النموذج'!$C$105:$BM$105)</f>
        <v/>
      </c>
      <c r="H42" s="50">
        <f>SUMIF('النموذج'!$C$6:$BM$6,2031,'النموذج'!$C$105:$BM$105)</f>
        <v/>
      </c>
    </row>
    <row r="43">
      <c r="A43" s="4" t="inlineStr">
        <is>
          <t>EBITDA % من GMV</t>
        </is>
      </c>
      <c r="C43" s="29">
        <f>IF(C15&gt;0,C42/C15,0)</f>
        <v/>
      </c>
      <c r="D43" s="29">
        <f>IF(D15&gt;0,D42/D15,0)</f>
        <v/>
      </c>
      <c r="E43" s="29">
        <f>IF(E15&gt;0,E42/E15,0)</f>
        <v/>
      </c>
      <c r="F43" s="29">
        <f>IF(F15&gt;0,F42/F15,0)</f>
        <v/>
      </c>
      <c r="G43" s="29">
        <f>IF(G15&gt;0,G42/G15,0)</f>
        <v/>
      </c>
      <c r="H43" s="29">
        <f>IF(H15&gt;0,H42/H15,0)</f>
        <v/>
      </c>
    </row>
    <row r="44">
      <c r="A44" s="4" t="inlineStr">
        <is>
          <t>الإهلاك والاستهلاك</t>
        </is>
      </c>
      <c r="C44" s="45">
        <f>SUMIF('النموذج'!$C$6:$BM$6,2026,'النموذج'!$C$116:$BM$116)</f>
        <v/>
      </c>
      <c r="D44" s="45">
        <f>SUMIF('النموذج'!$C$6:$BM$6,2027,'النموذج'!$C$116:$BM$116)</f>
        <v/>
      </c>
      <c r="E44" s="45">
        <f>SUMIF('النموذج'!$C$6:$BM$6,2028,'النموذج'!$C$116:$BM$116)</f>
        <v/>
      </c>
      <c r="F44" s="45">
        <f>SUMIF('النموذج'!$C$6:$BM$6,2029,'النموذج'!$C$116:$BM$116)</f>
        <v/>
      </c>
      <c r="G44" s="45">
        <f>SUMIF('النموذج'!$C$6:$BM$6,2030,'النموذج'!$C$116:$BM$116)</f>
        <v/>
      </c>
      <c r="H44" s="45">
        <f>SUMIF('النموذج'!$C$6:$BM$6,2031,'النموذج'!$C$116:$BM$116)</f>
        <v/>
      </c>
    </row>
    <row r="45">
      <c r="A45" s="4" t="inlineStr">
        <is>
          <t>ضريبة الدخل</t>
        </is>
      </c>
      <c r="C45" s="45">
        <f>SUMIF('النموذج'!$C$6:$BM$6,2026,'النموذج'!$C$120:$BM$120)</f>
        <v/>
      </c>
      <c r="D45" s="45">
        <f>SUMIF('النموذج'!$C$6:$BM$6,2027,'النموذج'!$C$120:$BM$120)</f>
        <v/>
      </c>
      <c r="E45" s="45">
        <f>SUMIF('النموذج'!$C$6:$BM$6,2028,'النموذج'!$C$120:$BM$120)</f>
        <v/>
      </c>
      <c r="F45" s="45">
        <f>SUMIF('النموذج'!$C$6:$BM$6,2029,'النموذج'!$C$120:$BM$120)</f>
        <v/>
      </c>
      <c r="G45" s="45">
        <f>SUMIF('النموذج'!$C$6:$BM$6,2030,'النموذج'!$C$120:$BM$120)</f>
        <v/>
      </c>
      <c r="H45" s="45">
        <f>SUMIF('النموذج'!$C$6:$BM$6,2031,'النموذج'!$C$120:$BM$120)</f>
        <v/>
      </c>
    </row>
    <row r="46">
      <c r="A46" s="15" t="inlineStr">
        <is>
          <t>صافي الدخل</t>
        </is>
      </c>
      <c r="C46" s="50">
        <f>SUMIF('النموذج'!$C$6:$BM$6,2026,'النموذج'!$C$121:$BM$121)</f>
        <v/>
      </c>
      <c r="D46" s="50">
        <f>SUMIF('النموذج'!$C$6:$BM$6,2027,'النموذج'!$C$121:$BM$121)</f>
        <v/>
      </c>
      <c r="E46" s="50">
        <f>SUMIF('النموذج'!$C$6:$BM$6,2028,'النموذج'!$C$121:$BM$121)</f>
        <v/>
      </c>
      <c r="F46" s="50">
        <f>SUMIF('النموذج'!$C$6:$BM$6,2029,'النموذج'!$C$121:$BM$121)</f>
        <v/>
      </c>
      <c r="G46" s="50">
        <f>SUMIF('النموذج'!$C$6:$BM$6,2030,'النموذج'!$C$121:$BM$121)</f>
        <v/>
      </c>
      <c r="H46" s="50">
        <f>SUMIF('النموذج'!$C$6:$BM$6,2031,'النموذج'!$C$121:$BM$121)</f>
        <v/>
      </c>
    </row>
    <row r="47"/>
    <row r="48">
      <c r="A48" s="40" t="inlineStr">
        <is>
          <t>النقدية</t>
        </is>
      </c>
      <c r="B48" s="41" t="n"/>
      <c r="C48" s="41" t="n"/>
      <c r="D48" s="41" t="n"/>
      <c r="E48" s="41" t="n"/>
      <c r="F48" s="41" t="n"/>
      <c r="G48" s="41" t="n"/>
      <c r="H48" s="41" t="n"/>
    </row>
    <row r="49">
      <c r="A49" s="4" t="inlineStr">
        <is>
          <t>الإنفاق الرأسمالي</t>
        </is>
      </c>
      <c r="C49" s="45">
        <f>SUMIF('النموذج'!$C$6:$BM$6,2026,'النموذج'!$C$113:$BM$113)</f>
        <v/>
      </c>
      <c r="D49" s="45">
        <f>SUMIF('النموذج'!$C$6:$BM$6,2027,'النموذج'!$C$113:$BM$113)</f>
        <v/>
      </c>
      <c r="E49" s="45">
        <f>SUMIF('النموذج'!$C$6:$BM$6,2028,'النموذج'!$C$113:$BM$113)</f>
        <v/>
      </c>
      <c r="F49" s="45">
        <f>SUMIF('النموذج'!$C$6:$BM$6,2029,'النموذج'!$C$113:$BM$113)</f>
        <v/>
      </c>
      <c r="G49" s="45">
        <f>SUMIF('النموذج'!$C$6:$BM$6,2030,'النموذج'!$C$113:$BM$113)</f>
        <v/>
      </c>
      <c r="H49" s="45">
        <f>SUMIF('النموذج'!$C$6:$BM$6,2031,'النموذج'!$C$113:$BM$113)</f>
        <v/>
      </c>
    </row>
    <row r="50">
      <c r="A50" s="4" t="inlineStr">
        <is>
          <t>التغير في رأس المال العامل</t>
        </is>
      </c>
      <c r="C50" s="45">
        <f>SUMIF('النموذج'!$C$6:$BM$6,2026,'النموذج'!$C$128:$BM$128)</f>
        <v/>
      </c>
      <c r="D50" s="45">
        <f>SUMIF('النموذج'!$C$6:$BM$6,2027,'النموذج'!$C$128:$BM$128)</f>
        <v/>
      </c>
      <c r="E50" s="45">
        <f>SUMIF('النموذج'!$C$6:$BM$6,2028,'النموذج'!$C$128:$BM$128)</f>
        <v/>
      </c>
      <c r="F50" s="45">
        <f>SUMIF('النموذج'!$C$6:$BM$6,2029,'النموذج'!$C$128:$BM$128)</f>
        <v/>
      </c>
      <c r="G50" s="45">
        <f>SUMIF('النموذج'!$C$6:$BM$6,2030,'النموذج'!$C$128:$BM$128)</f>
        <v/>
      </c>
      <c r="H50" s="45">
        <f>SUMIF('النموذج'!$C$6:$BM$6,2031,'النموذج'!$C$128:$BM$128)</f>
        <v/>
      </c>
    </row>
    <row r="51">
      <c r="A51" s="15" t="inlineStr">
        <is>
          <t>التدفق النقدي الحر</t>
        </is>
      </c>
      <c r="C51" s="50">
        <f>SUMIF('النموذج'!$C$6:$BM$6,2026,'النموذج'!$C$130:$BM$130)</f>
        <v/>
      </c>
      <c r="D51" s="50">
        <f>SUMIF('النموذج'!$C$6:$BM$6,2027,'النموذج'!$C$130:$BM$130)</f>
        <v/>
      </c>
      <c r="E51" s="50">
        <f>SUMIF('النموذج'!$C$6:$BM$6,2028,'النموذج'!$C$130:$BM$130)</f>
        <v/>
      </c>
      <c r="F51" s="50">
        <f>SUMIF('النموذج'!$C$6:$BM$6,2029,'النموذج'!$C$130:$BM$130)</f>
        <v/>
      </c>
      <c r="G51" s="50">
        <f>SUMIF('النموذج'!$C$6:$BM$6,2030,'النموذج'!$C$130:$BM$130)</f>
        <v/>
      </c>
      <c r="H51" s="50">
        <f>SUMIF('النموذج'!$C$6:$BM$6,2031,'النموذج'!$C$130:$BM$130)</f>
        <v/>
      </c>
    </row>
    <row r="52">
      <c r="A52" s="4" t="inlineStr">
        <is>
          <t>تمويل بالأسهم</t>
        </is>
      </c>
      <c r="C52" s="45">
        <f>SUMIF('النموذج'!$C$6:$BM$6,2026,'النموذج'!$C$132:$BM$132)</f>
        <v/>
      </c>
      <c r="D52" s="45">
        <f>SUMIF('النموذج'!$C$6:$BM$6,2027,'النموذج'!$C$132:$BM$132)</f>
        <v/>
      </c>
      <c r="E52" s="45">
        <f>SUMIF('النموذج'!$C$6:$BM$6,2028,'النموذج'!$C$132:$BM$132)</f>
        <v/>
      </c>
      <c r="F52" s="45">
        <f>SUMIF('النموذج'!$C$6:$BM$6,2029,'النموذج'!$C$132:$BM$132)</f>
        <v/>
      </c>
      <c r="G52" s="45">
        <f>SUMIF('النموذج'!$C$6:$BM$6,2030,'النموذج'!$C$132:$BM$132)</f>
        <v/>
      </c>
      <c r="H52" s="45">
        <f>SUMIF('النموذج'!$C$6:$BM$6,2031,'النموذج'!$C$132:$BM$132)</f>
        <v/>
      </c>
    </row>
    <row r="53">
      <c r="A53" s="15" t="inlineStr">
        <is>
          <t>رصيد النقدية (ديسمبر)</t>
        </is>
      </c>
      <c r="C53" s="50">
        <f>IFERROR(INDEX('النموذج'!$C$133:$BM$133,MATCH(DATE(2026,12,1),'النموذج'!$C$5:$BM$5,0)),0)</f>
        <v/>
      </c>
      <c r="D53" s="50">
        <f>IFERROR(INDEX('النموذج'!$C$133:$BM$133,MATCH(DATE(2027,12,1),'النموذج'!$C$5:$BM$5,0)),0)</f>
        <v/>
      </c>
      <c r="E53" s="50">
        <f>IFERROR(INDEX('النموذج'!$C$133:$BM$133,MATCH(DATE(2028,12,1),'النموذج'!$C$5:$BM$5,0)),0)</f>
        <v/>
      </c>
      <c r="F53" s="50">
        <f>IFERROR(INDEX('النموذج'!$C$133:$BM$133,MATCH(DATE(2029,12,1),'النموذج'!$C$5:$BM$5,0)),0)</f>
        <v/>
      </c>
      <c r="G53" s="50">
        <f>IFERROR(INDEX('النموذج'!$C$133:$BM$133,MATCH(DATE(2030,12,1),'النموذج'!$C$5:$BM$5,0)),0)</f>
        <v/>
      </c>
      <c r="H53" s="50">
        <f>IFERROR(INDEX('النموذج'!$C$133:$BM$133,MATCH(DATE(2031,12,1),'النموذج'!$C$5:$BM$5,0)),0)</f>
        <v/>
      </c>
    </row>
    <row r="54"/>
    <row r="55">
      <c r="A55" s="40" t="inlineStr">
        <is>
          <t>المؤشرات الرئيسية</t>
        </is>
      </c>
      <c r="B55" s="41" t="n"/>
      <c r="C55" s="41" t="n"/>
      <c r="D55" s="41" t="n"/>
      <c r="E55" s="41" t="n"/>
      <c r="F55" s="41" t="n"/>
      <c r="G55" s="41" t="n"/>
      <c r="H55" s="41" t="n"/>
    </row>
    <row r="56">
      <c r="A56" s="15" t="inlineStr">
        <is>
          <t>ذروة الاحتياج التمويلي (أدنى تدفق نقدي حر تراكمي)</t>
        </is>
      </c>
      <c r="C56" s="56">
        <f>-MIN(0,MIN('النموذج'!$C$131:$BM$131))</f>
        <v/>
      </c>
    </row>
    <row r="57">
      <c r="A57" s="15" t="inlineStr">
        <is>
          <t>أول شهر EBITDA موجبة</t>
        </is>
      </c>
      <c r="C57" s="57">
        <f>IF(MAX('النموذج'!$C$138:$BM$138)&gt;0,MAX('النموذج'!$C$138:$BM$138),"خارج الأفق الزمني")</f>
        <v/>
      </c>
    </row>
    <row r="58">
      <c r="A58" s="15" t="inlineStr">
        <is>
          <t>أول شهر مساهمة موجبة</t>
        </is>
      </c>
      <c r="C58" s="57">
        <f>IF(MAX('النموذج'!$C$141:$BM$141)&gt;0,MAX('النموذج'!$C$141:$BM$141),"خارج الأفق الزمني")</f>
        <v/>
      </c>
    </row>
    <row r="59">
      <c r="A59" s="15" t="inlineStr">
        <is>
          <t>أقل رصيد نقدي مع التمويل (لازم يفضل &gt; 0)</t>
        </is>
      </c>
      <c r="C59" s="56">
        <f>MIN('النموذج'!$C$133:$BM$133)</f>
        <v/>
      </c>
    </row>
    <row r="60">
      <c r="A60" s="15" t="inlineStr">
        <is>
          <t>فحص التمويل</t>
        </is>
      </c>
      <c r="C60" s="58">
        <f>IF(C59&gt;0,"سليم — ممول","عجز — مطلوب تمويل إضافي")</f>
        <v/>
      </c>
    </row>
    <row r="61">
      <c r="A61" s="15" t="inlineStr">
        <is>
          <t>مساهمة العميل مدى الحياة، السنة 3 (المساهمة/طلب × طلبات/شهر ÷ التسرب)</t>
        </is>
      </c>
      <c r="C61" s="56">
        <f>IFERROR(F37*'الافتراضات'!$E$33*'الافتراضات'!$F$10/(1-MIN(0.95,'الافتراضات'!$E$32+'الافتراضات'!$F$9)),0)</f>
        <v/>
      </c>
    </row>
    <row r="62">
      <c r="A62" s="15" t="inlineStr">
        <is>
          <t>CAC المجمّع، السنة الثالثة</t>
        </is>
      </c>
      <c r="C62" s="56">
        <f>'الافتراضات'!$E$29*'الافتراضات'!$F$8</f>
        <v/>
      </c>
    </row>
    <row r="63">
      <c r="A63" s="15" t="inlineStr">
        <is>
          <t>المساهمة مدى الحياة ÷ CAC، السنة الثالثة</t>
        </is>
      </c>
      <c r="C63" s="59">
        <f>IF(C62&gt;0,C61/C62,0)</f>
        <v/>
      </c>
    </row>
    <row r="64">
      <c r="A64" s="15" t="inlineStr">
        <is>
          <t>استرداد CAC، السنة الثالثة (شهور مساهمة)</t>
        </is>
      </c>
      <c r="C64" s="60">
        <f>IFERROR(C62/(F37*'الافتراضات'!$E$33*'الافتراضات'!$F$10),0)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showGridLines="0" rightToLeft="1"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39" t="inlineStr">
        <is>
          <t>لكل طلب عميل (ج.م) — الطلب الواحد بيكسب كام وبيكلّف كام</t>
        </is>
      </c>
    </row>
    <row r="2">
      <c r="B2" s="54" t="inlineStr">
        <is>
          <t>2027</t>
        </is>
      </c>
      <c r="C2" s="54" t="inlineStr">
        <is>
          <t>2028</t>
        </is>
      </c>
      <c r="D2" s="54" t="inlineStr">
        <is>
          <t>2029</t>
        </is>
      </c>
      <c r="E2" s="54" t="inlineStr">
        <is>
          <t>2030</t>
        </is>
      </c>
      <c r="F2" s="54" t="inlineStr">
        <is>
          <t>2031</t>
        </is>
      </c>
    </row>
    <row r="3">
      <c r="A3" s="15" t="inlineStr">
        <is>
          <t>متوسط قيمة الطلب (GMV للطلب)</t>
        </is>
      </c>
      <c r="B3" s="61">
        <f>IF('السنوي'!D$11&gt;0,1*'السنوي'!D$15/'السنوي'!D$11,0)</f>
        <v/>
      </c>
      <c r="C3" s="61">
        <f>IF('السنوي'!E$11&gt;0,1*'السنوي'!E$15/'السنوي'!E$11,0)</f>
        <v/>
      </c>
      <c r="D3" s="61">
        <f>IF('السنوي'!F$11&gt;0,1*'السنوي'!F$15/'السنوي'!F$11,0)</f>
        <v/>
      </c>
      <c r="E3" s="61">
        <f>IF('السنوي'!G$11&gt;0,1*'السنوي'!G$15/'السنوي'!G$11,0)</f>
        <v/>
      </c>
      <c r="F3" s="61">
        <f>IF('السنوي'!H$11&gt;0,1*'السنوي'!H$15/'السنوي'!H$11,0)</f>
        <v/>
      </c>
    </row>
    <row r="4">
      <c r="A4" s="4" t="inlineStr">
        <is>
          <t>مجمل الربح للطلب (كل المصادر)</t>
        </is>
      </c>
      <c r="B4" s="11">
        <f>IF('السنوي'!D$11&gt;0,1*'السنوي'!D$29/'السنوي'!D$11,0)</f>
        <v/>
      </c>
      <c r="C4" s="11">
        <f>IF('السنوي'!E$11&gt;0,1*'السنوي'!E$29/'السنوي'!E$11,0)</f>
        <v/>
      </c>
      <c r="D4" s="11">
        <f>IF('السنوي'!F$11&gt;0,1*'السنوي'!F$29/'السنوي'!F$11,0)</f>
        <v/>
      </c>
      <c r="E4" s="11">
        <f>IF('السنوي'!G$11&gt;0,1*'السنوي'!G$29/'السنوي'!G$11,0)</f>
        <v/>
      </c>
      <c r="F4" s="11">
        <f>IF('السنوي'!H$11&gt;0,1*'السنوي'!H$29/'السنوي'!H$11,0)</f>
        <v/>
      </c>
    </row>
    <row r="5"/>
    <row r="6">
      <c r="A6" s="14" t="inlineStr">
        <is>
          <t>مجمل الربح حسب المصدر</t>
        </is>
      </c>
    </row>
    <row r="7">
      <c r="A7" s="4" t="inlineStr">
        <is>
          <t>عمولة السوق</t>
        </is>
      </c>
      <c r="B7" s="11">
        <f>IF('السنوي'!D$11&gt;0,1*'السنوي'!D$19/'السنوي'!D$11,0)</f>
        <v/>
      </c>
      <c r="C7" s="11">
        <f>IF('السنوي'!E$11&gt;0,1*'السنوي'!E$19/'السنوي'!E$11,0)</f>
        <v/>
      </c>
      <c r="D7" s="11">
        <f>IF('السنوي'!F$11&gt;0,1*'السنوي'!F$19/'السنوي'!F$11,0)</f>
        <v/>
      </c>
      <c r="E7" s="11">
        <f>IF('السنوي'!G$11&gt;0,1*'السنوي'!G$19/'السنوي'!G$11,0)</f>
        <v/>
      </c>
      <c r="F7" s="11">
        <f>IF('السنوي'!H$11&gt;0,1*'السنوي'!H$19/'السنوي'!H$11,0)</f>
        <v/>
      </c>
    </row>
    <row r="8">
      <c r="A8" s="4" t="inlineStr">
        <is>
          <t>عمولة المطاعم</t>
        </is>
      </c>
      <c r="B8" s="11">
        <f>IF('السنوي'!D$11&gt;0,1*'السنوي'!D$20/'السنوي'!D$11,0)</f>
        <v/>
      </c>
      <c r="C8" s="11">
        <f>IF('السنوي'!E$11&gt;0,1*'السنوي'!E$20/'السنوي'!E$11,0)</f>
        <v/>
      </c>
      <c r="D8" s="11">
        <f>IF('السنوي'!F$11&gt;0,1*'السنوي'!F$20/'السنوي'!F$11,0)</f>
        <v/>
      </c>
      <c r="E8" s="11">
        <f>IF('السنوي'!G$11&gt;0,1*'السنوي'!G$20/'السنوي'!G$11,0)</f>
        <v/>
      </c>
      <c r="F8" s="11">
        <f>IF('السنوي'!H$11&gt;0,1*'السنوي'!H$20/'السنوي'!H$11,0)</f>
        <v/>
      </c>
    </row>
    <row r="9">
      <c r="A9" s="4" t="inlineStr">
        <is>
          <t>رسوم التوصيل</t>
        </is>
      </c>
      <c r="B9" s="11">
        <f>IF('السنوي'!D$11&gt;0,1*'السنوي'!D$21/'السنوي'!D$11,0)</f>
        <v/>
      </c>
      <c r="C9" s="11">
        <f>IF('السنوي'!E$11&gt;0,1*'السنوي'!E$21/'السنوي'!E$11,0)</f>
        <v/>
      </c>
      <c r="D9" s="11">
        <f>IF('السنوي'!F$11&gt;0,1*'السنوي'!F$21/'السنوي'!F$11,0)</f>
        <v/>
      </c>
      <c r="E9" s="11">
        <f>IF('السنوي'!G$11&gt;0,1*'السنوي'!G$21/'السنوي'!G$11,0)</f>
        <v/>
      </c>
      <c r="F9" s="11">
        <f>IF('السنوي'!H$11&gt;0,1*'السنوي'!H$21/'السنوي'!H$11,0)</f>
        <v/>
      </c>
    </row>
    <row r="10">
      <c r="A10" s="4" t="inlineStr">
        <is>
          <t>رسوم الخدمة</t>
        </is>
      </c>
      <c r="B10" s="11">
        <f>IF('السنوي'!D$11&gt;0,1*'السنوي'!D$22/'السنوي'!D$11,0)</f>
        <v/>
      </c>
      <c r="C10" s="11">
        <f>IF('السنوي'!E$11&gt;0,1*'السنوي'!E$22/'السنوي'!E$11,0)</f>
        <v/>
      </c>
      <c r="D10" s="11">
        <f>IF('السنوي'!F$11&gt;0,1*'السنوي'!F$22/'السنوي'!F$11,0)</f>
        <v/>
      </c>
      <c r="E10" s="11">
        <f>IF('السنوي'!G$11&gt;0,1*'السنوي'!G$22/'السنوي'!G$11,0)</f>
        <v/>
      </c>
      <c r="F10" s="11">
        <f>IF('السنوي'!H$11&gt;0,1*'السنوي'!H$22/'السنوي'!H$11,0)</f>
        <v/>
      </c>
    </row>
    <row r="11">
      <c r="A11" s="4" t="inlineStr">
        <is>
          <t>توّا+ (موزعة على الطلب)</t>
        </is>
      </c>
      <c r="B11" s="11">
        <f>IF('السنوي'!D$11&gt;0,1*'السنوي'!D$23/'السنوي'!D$11,0)</f>
        <v/>
      </c>
      <c r="C11" s="11">
        <f>IF('السنوي'!E$11&gt;0,1*'السنوي'!E$23/'السنوي'!E$11,0)</f>
        <v/>
      </c>
      <c r="D11" s="11">
        <f>IF('السنوي'!F$11&gt;0,1*'السنوي'!F$23/'السنوي'!F$11,0)</f>
        <v/>
      </c>
      <c r="E11" s="11">
        <f>IF('السنوي'!G$11&gt;0,1*'السنوي'!G$23/'السنوي'!G$11,0)</f>
        <v/>
      </c>
      <c r="F11" s="11">
        <f>IF('السنوي'!H$11&gt;0,1*'السنوي'!H$23/'السنوي'!H$11,0)</f>
        <v/>
      </c>
    </row>
    <row r="12">
      <c r="A12" s="4" t="inlineStr">
        <is>
          <t>رسوم التوصيل كخدمة (موزعة على الطلب)</t>
        </is>
      </c>
      <c r="B12" s="11">
        <f>IF('السنوي'!D$11&gt;0,1*'السنوي'!D$24/'السنوي'!D$11,0)</f>
        <v/>
      </c>
      <c r="C12" s="11">
        <f>IF('السنوي'!E$11&gt;0,1*'السنوي'!E$24/'السنوي'!E$11,0)</f>
        <v/>
      </c>
      <c r="D12" s="11">
        <f>IF('السنوي'!F$11&gt;0,1*'السنوي'!F$24/'السنوي'!F$11,0)</f>
        <v/>
      </c>
      <c r="E12" s="11">
        <f>IF('السنوي'!G$11&gt;0,1*'السنوي'!G$24/'السنوي'!G$11,0)</f>
        <v/>
      </c>
      <c r="F12" s="11">
        <f>IF('السنوي'!H$11&gt;0,1*'السنوي'!H$24/'السنوي'!H$11,0)</f>
        <v/>
      </c>
    </row>
    <row r="13">
      <c r="A13" s="4" t="inlineStr">
        <is>
          <t>إعلانات التطبيق</t>
        </is>
      </c>
      <c r="B13" s="11">
        <f>IF('السنوي'!D$11&gt;0,1*'السنوي'!D$25/'السنوي'!D$11,0)</f>
        <v/>
      </c>
      <c r="C13" s="11">
        <f>IF('السنوي'!E$11&gt;0,1*'السنوي'!E$25/'السنوي'!E$11,0)</f>
        <v/>
      </c>
      <c r="D13" s="11">
        <f>IF('السنوي'!F$11&gt;0,1*'السنوي'!F$25/'السنوي'!F$11,0)</f>
        <v/>
      </c>
      <c r="E13" s="11">
        <f>IF('السنوي'!G$11&gt;0,1*'السنوي'!G$25/'السنوي'!G$11,0)</f>
        <v/>
      </c>
      <c r="F13" s="11">
        <f>IF('السنوي'!H$11&gt;0,1*'السنوي'!H$25/'السنوي'!H$11,0)</f>
        <v/>
      </c>
    </row>
    <row r="14">
      <c r="A14" s="4" t="inlineStr">
        <is>
          <t>حوافز الموردين</t>
        </is>
      </c>
      <c r="B14" s="11">
        <f>IF('السنوي'!D$11&gt;0,1*'السنوي'!D$26/'السنوي'!D$11,0)</f>
        <v/>
      </c>
      <c r="C14" s="11">
        <f>IF('السنوي'!E$11&gt;0,1*'السنوي'!E$26/'السنوي'!E$11,0)</f>
        <v/>
      </c>
      <c r="D14" s="11">
        <f>IF('السنوي'!F$11&gt;0,1*'السنوي'!F$26/'السنوي'!F$11,0)</f>
        <v/>
      </c>
      <c r="E14" s="11">
        <f>IF('السنوي'!G$11&gt;0,1*'السنوي'!G$26/'السنوي'!G$11,0)</f>
        <v/>
      </c>
      <c r="F14" s="11">
        <f>IF('السنوي'!H$11&gt;0,1*'السنوي'!H$26/'السنوي'!H$11,0)</f>
        <v/>
      </c>
    </row>
    <row r="15">
      <c r="A15" t="inlineStr">
        <is>
          <t>هامش المنتجات (مخزون مملوك)</t>
        </is>
      </c>
      <c r="B15" s="11">
        <f>IF('السنوي'!D$11&gt;0,('السنوي'!D$18-'السنوي'!D$28)/'السنوي'!D$11,0)</f>
        <v/>
      </c>
      <c r="C15" s="11">
        <f>IF('السنوي'!E$11&gt;0,('السنوي'!E$18-'السنوي'!E$28)/'السنوي'!E$11,0)</f>
        <v/>
      </c>
      <c r="D15" s="11">
        <f>IF('السنوي'!F$11&gt;0,('السنوي'!F$18-'السنوي'!F$28)/'السنوي'!F$11,0)</f>
        <v/>
      </c>
      <c r="E15" s="11">
        <f>IF('السنوي'!G$11&gt;0,('السنوي'!G$18-'السنوي'!G$28)/'السنوي'!G$11,0)</f>
        <v/>
      </c>
      <c r="F15" s="11">
        <f>IF('السنوي'!H$11&gt;0,('السنوي'!H$18-'السنوي'!H$28)/'السنوي'!H$11,0)</f>
        <v/>
      </c>
    </row>
    <row r="16"/>
    <row r="17">
      <c r="A17" s="14" t="inlineStr">
        <is>
          <t>التكاليف المتغيرة لكل طلب</t>
        </is>
      </c>
    </row>
    <row r="18">
      <c r="A18" s="4" t="inlineStr">
        <is>
          <t>المندوب (شامل التسليم المجزّأ والتوصيل كخدمة)</t>
        </is>
      </c>
      <c r="B18" s="11">
        <f>IF('السنوي'!D$11&gt;0,-1*'السنوي'!D$34/'السنوي'!D$11,0)</f>
        <v/>
      </c>
      <c r="C18" s="11">
        <f>IF('السنوي'!E$11&gt;0,-1*'السنوي'!E$34/'السنوي'!E$11,0)</f>
        <v/>
      </c>
      <c r="D18" s="11">
        <f>IF('السنوي'!F$11&gt;0,-1*'السنوي'!F$34/'السنوي'!F$11,0)</f>
        <v/>
      </c>
      <c r="E18" s="11">
        <f>IF('السنوي'!G$11&gt;0,-1*'السنوي'!G$34/'السنوي'!G$11,0)</f>
        <v/>
      </c>
      <c r="F18" s="11">
        <f>IF('السنوي'!H$11&gt;0,-1*'السنوي'!H$34/'السنوي'!H$11,0)</f>
        <v/>
      </c>
    </row>
    <row r="19">
      <c r="A19" s="4" t="inlineStr">
        <is>
          <t>عروض العملاء</t>
        </is>
      </c>
      <c r="B19" s="11">
        <f>IF('السنوي'!D$11&gt;0,-1*'السنوي'!D$35/'السنوي'!D$11,0)</f>
        <v/>
      </c>
      <c r="C19" s="11">
        <f>IF('السنوي'!E$11&gt;0,-1*'السنوي'!E$35/'السنوي'!E$11,0)</f>
        <v/>
      </c>
      <c r="D19" s="11">
        <f>IF('السنوي'!F$11&gt;0,-1*'السنوي'!F$35/'السنوي'!F$11,0)</f>
        <v/>
      </c>
      <c r="E19" s="11">
        <f>IF('السنوي'!G$11&gt;0,-1*'السنوي'!G$35/'السنوي'!G$11,0)</f>
        <v/>
      </c>
      <c r="F19" s="11">
        <f>IF('السنوي'!H$11&gt;0,-1*'السنوي'!H$35/'السنوي'!H$11,0)</f>
        <v/>
      </c>
    </row>
    <row r="20">
      <c r="A20" t="inlineStr">
        <is>
          <t>متغيرة أخرى (تجميع، تغليف، دفع، هالك، استرداد، دعم)</t>
        </is>
      </c>
      <c r="B20" s="11">
        <f>IF('السنوي'!D$11&gt;0,-('السنوي'!D$33-'السنوي'!D$34-'السنوي'!D$35)/'السنوي'!D$11,0)</f>
        <v/>
      </c>
      <c r="C20" s="11">
        <f>IF('السنوي'!E$11&gt;0,-('السنوي'!E$33-'السنوي'!E$34-'السنوي'!E$35)/'السنوي'!E$11,0)</f>
        <v/>
      </c>
      <c r="D20" s="11">
        <f>IF('السنوي'!F$11&gt;0,-('السنوي'!F$33-'السنوي'!F$34-'السنوي'!F$35)/'السنوي'!F$11,0)</f>
        <v/>
      </c>
      <c r="E20" s="11">
        <f>IF('السنوي'!G$11&gt;0,-('السنوي'!G$33-'السنوي'!G$34-'السنوي'!G$35)/'السنوي'!G$11,0)</f>
        <v/>
      </c>
      <c r="F20" s="11">
        <f>IF('السنوي'!H$11&gt;0,-('السنوي'!H$33-'السنوي'!H$34-'السنوي'!H$35)/'السنوي'!H$11,0)</f>
        <v/>
      </c>
    </row>
    <row r="21">
      <c r="A21" s="15" t="inlineStr">
        <is>
          <t>المساهمة لكل طلب</t>
        </is>
      </c>
      <c r="B21" s="61">
        <f>IF('السنوي'!D$11&gt;0,1*'السنوي'!D$36/'السنوي'!D$11,0)</f>
        <v/>
      </c>
      <c r="C21" s="61">
        <f>IF('السنوي'!E$11&gt;0,1*'السنوي'!E$36/'السنوي'!E$11,0)</f>
        <v/>
      </c>
      <c r="D21" s="61">
        <f>IF('السنوي'!F$11&gt;0,1*'السنوي'!F$36/'السنوي'!F$11,0)</f>
        <v/>
      </c>
      <c r="E21" s="61">
        <f>IF('السنوي'!G$11&gt;0,1*'السنوي'!G$36/'السنوي'!G$11,0)</f>
        <v/>
      </c>
      <c r="F21" s="61">
        <f>IF('السنوي'!H$11&gt;0,1*'السنوي'!H$36/'السنوي'!H$11,0)</f>
        <v/>
      </c>
    </row>
    <row r="22">
      <c r="A22" s="4" t="inlineStr">
        <is>
          <t>التكاليف الثابتة والاستحواذ لكل طلب</t>
        </is>
      </c>
      <c r="B22" s="11">
        <f>IF('السنوي'!D$11&gt;0,-1*'السنوي'!D$38/'السنوي'!D$11,0)</f>
        <v/>
      </c>
      <c r="C22" s="11">
        <f>IF('السنوي'!E$11&gt;0,-1*'السنوي'!E$38/'السنوي'!E$11,0)</f>
        <v/>
      </c>
      <c r="D22" s="11">
        <f>IF('السنوي'!F$11&gt;0,-1*'السنوي'!F$38/'السنوي'!F$11,0)</f>
        <v/>
      </c>
      <c r="E22" s="11">
        <f>IF('السنوي'!G$11&gt;0,-1*'السنوي'!G$38/'السنوي'!G$11,0)</f>
        <v/>
      </c>
      <c r="F22" s="11">
        <f>IF('السنوي'!H$11&gt;0,-1*'السنوي'!H$38/'السنوي'!H$11,0)</f>
        <v/>
      </c>
    </row>
    <row r="23">
      <c r="A23" s="15" t="inlineStr">
        <is>
          <t>EBITDA لكل طلب</t>
        </is>
      </c>
      <c r="B23" s="61">
        <f>IF('السنوي'!D$11&gt;0,1*'السنوي'!D$42/'السنوي'!D$11,0)</f>
        <v/>
      </c>
      <c r="C23" s="61">
        <f>IF('السنوي'!E$11&gt;0,1*'السنوي'!E$42/'السنوي'!E$11,0)</f>
        <v/>
      </c>
      <c r="D23" s="61">
        <f>IF('السنوي'!F$11&gt;0,1*'السنوي'!F$42/'السنوي'!F$11,0)</f>
        <v/>
      </c>
      <c r="E23" s="61">
        <f>IF('السنوي'!G$11&gt;0,1*'السنوي'!G$42/'السنوي'!G$11,0)</f>
        <v/>
      </c>
      <c r="F23" s="61">
        <f>IF('السنوي'!H$11&gt;0,1*'السنوي'!H$42/'السنوي'!H$11,0)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"/>
  <sheetViews>
    <sheetView showGridLines="0" rightToLeft="1"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8" customWidth="1" min="3" max="3"/>
    <col width="22" customWidth="1" min="4" max="4"/>
    <col width="38" customWidth="1" min="5" max="5"/>
    <col width="12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1" customWidth="1" min="12" max="12"/>
  </cols>
  <sheetData>
    <row r="1">
      <c r="A1" s="39" t="inlineStr">
        <is>
          <t>مصادر الإيراد — مين بيدفع، التسعير، إمتى تبدأ، وبتكسب كام (مجمل الربح، ج.م)</t>
        </is>
      </c>
    </row>
    <row r="2"/>
    <row r="3">
      <c r="A3" s="62" t="inlineStr">
        <is>
          <t>#</t>
        </is>
      </c>
      <c r="B3" s="62" t="inlineStr">
        <is>
          <t>المصدر</t>
        </is>
      </c>
      <c r="C3" s="62" t="inlineStr">
        <is>
          <t>الاسم</t>
        </is>
      </c>
      <c r="D3" s="62" t="inlineStr">
        <is>
          <t>مين بيدفع</t>
        </is>
      </c>
      <c r="E3" s="62" t="inlineStr">
        <is>
          <t>آلية التسعير</t>
        </is>
      </c>
      <c r="F3" s="62" t="inlineStr">
        <is>
          <t>يبدأ</t>
        </is>
      </c>
      <c r="G3" s="62" t="inlineStr">
        <is>
          <t>مجمل الربح 2027</t>
        </is>
      </c>
      <c r="H3" s="62" t="inlineStr">
        <is>
          <t>مجمل الربح 2028</t>
        </is>
      </c>
      <c r="I3" s="62" t="inlineStr">
        <is>
          <t>مجمل الربح 2029</t>
        </is>
      </c>
      <c r="J3" s="62" t="inlineStr">
        <is>
          <t>مجمل الربح 2030</t>
        </is>
      </c>
      <c r="K3" s="62" t="inlineStr">
        <is>
          <t>مجمل الربح 2031</t>
        </is>
      </c>
      <c r="L3" s="62" t="inlineStr">
        <is>
          <t>الحصة 2031</t>
        </is>
      </c>
    </row>
    <row r="4" ht="30" customHeight="1">
      <c r="A4" s="63" t="inlineStr">
        <is>
          <t>1</t>
        </is>
      </c>
      <c r="B4" s="63" t="inlineStr">
        <is>
          <t>هامش المنتجات (مخزون مملوك)</t>
        </is>
      </c>
      <c r="C4" s="63" t="inlineStr">
        <is>
          <t>هامش منتجات توّا</t>
        </is>
      </c>
      <c r="D4" s="63" t="inlineStr">
        <is>
          <t>العميل (ضمن سعر المنتج)</t>
        </is>
      </c>
      <c r="E4" s="63" t="inlineStr">
        <is>
          <t>شراء من الموزعين والبيع بسعر الرف؛ هامش أمامي 16% ← 21% (علامة خاصة من 2029)</t>
        </is>
      </c>
      <c r="F4" s="63" t="inlineStr">
        <is>
          <t>يناير 2027</t>
        </is>
      </c>
      <c r="G4" s="17">
        <f>'السنوي'!D$18-'السنوي'!D$28</f>
        <v/>
      </c>
      <c r="H4" s="17">
        <f>'السنوي'!E$18-'السنوي'!E$28</f>
        <v/>
      </c>
      <c r="I4" s="17">
        <f>'السنوي'!F$18-'السنوي'!F$28</f>
        <v/>
      </c>
      <c r="J4" s="17">
        <f>'السنوي'!G$18-'السنوي'!G$28</f>
        <v/>
      </c>
      <c r="K4" s="17">
        <f>'السنوي'!H$18-'السنوي'!H$28</f>
        <v/>
      </c>
      <c r="L4" s="64">
        <f>IF($K$13&gt;0,K4/$K$13,0)</f>
        <v/>
      </c>
    </row>
    <row r="5" ht="30" customHeight="1">
      <c r="A5" s="63" t="inlineStr">
        <is>
          <t>2</t>
        </is>
      </c>
      <c r="B5" s="63" t="inlineStr">
        <is>
          <t>عمولة السوق والصيدليات</t>
        </is>
      </c>
      <c r="C5" s="63" t="inlineStr">
        <is>
          <t>عمولة التجار والصيدليات</t>
        </is>
      </c>
      <c r="D5" s="63" t="inlineStr">
        <is>
          <t>التجار المحليون والصيدليات الشريكة</t>
        </is>
      </c>
      <c r="E5" s="63" t="inlineStr">
        <is>
          <t>11–12% من قيمة طلب التاجر</t>
        </is>
      </c>
      <c r="F5" s="63" t="inlineStr">
        <is>
          <t>يناير 2027</t>
        </is>
      </c>
      <c r="G5" s="17">
        <f>'السنوي'!D$19</f>
        <v/>
      </c>
      <c r="H5" s="17">
        <f>'السنوي'!E$19</f>
        <v/>
      </c>
      <c r="I5" s="17">
        <f>'السنوي'!F$19</f>
        <v/>
      </c>
      <c r="J5" s="17">
        <f>'السنوي'!G$19</f>
        <v/>
      </c>
      <c r="K5" s="17">
        <f>'السنوي'!H$19</f>
        <v/>
      </c>
      <c r="L5" s="64">
        <f>IF($K$13&gt;0,K5/$K$13,0)</f>
        <v/>
      </c>
    </row>
    <row r="6" ht="30" customHeight="1">
      <c r="A6" s="63" t="inlineStr">
        <is>
          <t>3</t>
        </is>
      </c>
      <c r="B6" s="63" t="inlineStr">
        <is>
          <t>عمولة المطاعم</t>
        </is>
      </c>
      <c r="C6" s="63" t="inlineStr">
        <is>
          <t>عمولة المطاعم</t>
        </is>
      </c>
      <c r="D6" s="63" t="inlineStr">
        <is>
          <t>المطاعم</t>
        </is>
      </c>
      <c r="E6" s="63" t="inlineStr">
        <is>
          <t>17–18% من قيمة طلب الأكل</t>
        </is>
      </c>
      <c r="F6" s="63" t="inlineStr">
        <is>
          <t>يناير 2027</t>
        </is>
      </c>
      <c r="G6" s="17">
        <f>'السنوي'!D$20</f>
        <v/>
      </c>
      <c r="H6" s="17">
        <f>'السنوي'!E$20</f>
        <v/>
      </c>
      <c r="I6" s="17">
        <f>'السنوي'!F$20</f>
        <v/>
      </c>
      <c r="J6" s="17">
        <f>'السنوي'!G$20</f>
        <v/>
      </c>
      <c r="K6" s="17">
        <f>'السنوي'!H$20</f>
        <v/>
      </c>
      <c r="L6" s="64">
        <f>IF($K$13&gt;0,K6/$K$13,0)</f>
        <v/>
      </c>
    </row>
    <row r="7" ht="30" customHeight="1">
      <c r="A7" s="63" t="inlineStr">
        <is>
          <t>4</t>
        </is>
      </c>
      <c r="B7" s="63" t="inlineStr">
        <is>
          <t>رسوم التوصيل</t>
        </is>
      </c>
      <c r="C7" s="63" t="inlineStr">
        <is>
          <t>رسوم التوصيل</t>
        </is>
      </c>
      <c r="D7" s="63" t="inlineStr">
        <is>
          <t>العميل</t>
        </is>
      </c>
      <c r="E7" s="63" t="inlineStr">
        <is>
          <t>17–25 ج.م في المتوسط؛ مجاني فوق حد السلة</t>
        </is>
      </c>
      <c r="F7" s="63" t="inlineStr">
        <is>
          <t>يناير 2027</t>
        </is>
      </c>
      <c r="G7" s="17">
        <f>'السنوي'!D$21</f>
        <v/>
      </c>
      <c r="H7" s="17">
        <f>'السنوي'!E$21</f>
        <v/>
      </c>
      <c r="I7" s="17">
        <f>'السنوي'!F$21</f>
        <v/>
      </c>
      <c r="J7" s="17">
        <f>'السنوي'!G$21</f>
        <v/>
      </c>
      <c r="K7" s="17">
        <f>'السنوي'!H$21</f>
        <v/>
      </c>
      <c r="L7" s="64">
        <f>IF($K$13&gt;0,K7/$K$13,0)</f>
        <v/>
      </c>
    </row>
    <row r="8" ht="30" customHeight="1">
      <c r="A8" s="63" t="inlineStr">
        <is>
          <t>5</t>
        </is>
      </c>
      <c r="B8" s="63" t="inlineStr">
        <is>
          <t>رسوم الخدمة</t>
        </is>
      </c>
      <c r="C8" s="63" t="inlineStr">
        <is>
          <t>رسوم الخدمة</t>
        </is>
      </c>
      <c r="D8" s="63" t="inlineStr">
        <is>
          <t>العميل</t>
        </is>
      </c>
      <c r="E8" s="63" t="inlineStr">
        <is>
          <t>3–6 ج.م للطلب، ظاهرة عند الدفع</t>
        </is>
      </c>
      <c r="F8" s="63" t="inlineStr">
        <is>
          <t>يناير 2027</t>
        </is>
      </c>
      <c r="G8" s="17">
        <f>'السنوي'!D$22</f>
        <v/>
      </c>
      <c r="H8" s="17">
        <f>'السنوي'!E$22</f>
        <v/>
      </c>
      <c r="I8" s="17">
        <f>'السنوي'!F$22</f>
        <v/>
      </c>
      <c r="J8" s="17">
        <f>'السنوي'!G$22</f>
        <v/>
      </c>
      <c r="K8" s="17">
        <f>'السنوي'!H$22</f>
        <v/>
      </c>
      <c r="L8" s="64">
        <f>IF($K$13&gt;0,K8/$K$13,0)</f>
        <v/>
      </c>
    </row>
    <row r="9" ht="30" customHeight="1">
      <c r="A9" s="63" t="inlineStr">
        <is>
          <t>6</t>
        </is>
      </c>
      <c r="B9" s="63" t="inlineStr">
        <is>
          <t>اشتراك توّا+</t>
        </is>
      </c>
      <c r="C9" s="63" t="inlineStr">
        <is>
          <t>اشتراك توّا+</t>
        </is>
      </c>
      <c r="D9" s="63" t="inlineStr">
        <is>
          <t>العميل</t>
        </is>
      </c>
      <c r="E9" s="63" t="inlineStr">
        <is>
          <t>49–72 ج.م/شهر: توصيل مجاني ونقاط مضاعفة</t>
        </is>
      </c>
      <c r="F9" s="63" t="inlineStr">
        <is>
          <t>يناير 2028</t>
        </is>
      </c>
      <c r="G9" s="17">
        <f>'السنوي'!D$23</f>
        <v/>
      </c>
      <c r="H9" s="17">
        <f>'السنوي'!E$23</f>
        <v/>
      </c>
      <c r="I9" s="17">
        <f>'السنوي'!F$23</f>
        <v/>
      </c>
      <c r="J9" s="17">
        <f>'السنوي'!G$23</f>
        <v/>
      </c>
      <c r="K9" s="17">
        <f>'السنوي'!H$23</f>
        <v/>
      </c>
      <c r="L9" s="64">
        <f>IF($K$13&gt;0,K9/$K$13,0)</f>
        <v/>
      </c>
    </row>
    <row r="10" ht="30" customHeight="1">
      <c r="A10" s="63" t="inlineStr">
        <is>
          <t>7</t>
        </is>
      </c>
      <c r="B10" s="63" t="inlineStr">
        <is>
          <t>التوصيل كخدمة</t>
        </is>
      </c>
      <c r="C10" s="63" t="inlineStr">
        <is>
          <t>التوصيل كخدمة</t>
        </is>
      </c>
      <c r="D10" s="63" t="inlineStr">
        <is>
          <t>التجار (طلباتهم الخاصة)</t>
        </is>
      </c>
      <c r="E10" s="63" t="inlineStr">
        <is>
          <t>22–34 ج.م للتوصيلة</t>
        </is>
      </c>
      <c r="F10" s="63" t="inlineStr">
        <is>
          <t>أبريل 2027</t>
        </is>
      </c>
      <c r="G10" s="17">
        <f>'السنوي'!D$24</f>
        <v/>
      </c>
      <c r="H10" s="17">
        <f>'السنوي'!E$24</f>
        <v/>
      </c>
      <c r="I10" s="17">
        <f>'السنوي'!F$24</f>
        <v/>
      </c>
      <c r="J10" s="17">
        <f>'السنوي'!G$24</f>
        <v/>
      </c>
      <c r="K10" s="17">
        <f>'السنوي'!H$24</f>
        <v/>
      </c>
      <c r="L10" s="64">
        <f>IF($K$13&gt;0,K10/$K$13,0)</f>
        <v/>
      </c>
    </row>
    <row r="11" ht="30" customHeight="1">
      <c r="A11" s="63" t="inlineStr">
        <is>
          <t>8</t>
        </is>
      </c>
      <c r="B11" s="63" t="inlineStr">
        <is>
          <t>إعلانات التطبيق</t>
        </is>
      </c>
      <c r="C11" s="63" t="inlineStr">
        <is>
          <t>إعلانات داخل التطبيق</t>
        </is>
      </c>
      <c r="D11" s="63" t="inlineStr">
        <is>
          <t>علامات السلع الاستهلاكية والموزعون</t>
        </is>
      </c>
      <c r="E11" s="63" t="inlineStr">
        <is>
          <t>أماكن مدفوعة وبانرات: 0.3% ← 2% من GMV الهب</t>
        </is>
      </c>
      <c r="F11" s="63" t="inlineStr">
        <is>
          <t>2027 (صفقات تجريبية)</t>
        </is>
      </c>
      <c r="G11" s="17">
        <f>'السنوي'!D$25</f>
        <v/>
      </c>
      <c r="H11" s="17">
        <f>'السنوي'!E$25</f>
        <v/>
      </c>
      <c r="I11" s="17">
        <f>'السنوي'!F$25</f>
        <v/>
      </c>
      <c r="J11" s="17">
        <f>'السنوي'!G$25</f>
        <v/>
      </c>
      <c r="K11" s="17">
        <f>'السنوي'!H$25</f>
        <v/>
      </c>
      <c r="L11" s="64">
        <f>IF($K$13&gt;0,K11/$K$13,0)</f>
        <v/>
      </c>
    </row>
    <row r="12" ht="30" customHeight="1">
      <c r="A12" s="63" t="inlineStr">
        <is>
          <t>9</t>
        </is>
      </c>
      <c r="B12" s="63" t="inlineStr">
        <is>
          <t>حوافز الموردين</t>
        </is>
      </c>
      <c r="C12" s="63" t="inlineStr">
        <is>
          <t>حوافز الموردين</t>
        </is>
      </c>
      <c r="D12" s="63" t="inlineStr">
        <is>
          <t>الموزعون والعلامات</t>
        </is>
      </c>
      <c r="E12" s="63" t="inlineStr">
        <is>
          <t>خصومات كمية ورسوم إدراج: حتى 3% من GMV الهب</t>
        </is>
      </c>
      <c r="F12" s="63" t="inlineStr">
        <is>
          <t>يناير 2028</t>
        </is>
      </c>
      <c r="G12" s="17">
        <f>'السنوي'!D$26</f>
        <v/>
      </c>
      <c r="H12" s="17">
        <f>'السنوي'!E$26</f>
        <v/>
      </c>
      <c r="I12" s="17">
        <f>'السنوي'!F$26</f>
        <v/>
      </c>
      <c r="J12" s="17">
        <f>'السنوي'!G$26</f>
        <v/>
      </c>
      <c r="K12" s="17">
        <f>'السنوي'!H$26</f>
        <v/>
      </c>
      <c r="L12" s="64">
        <f>IF($K$13&gt;0,K12/$K$13,0)</f>
        <v/>
      </c>
    </row>
    <row r="13">
      <c r="B13" s="15" t="inlineStr">
        <is>
          <t>إجمالي مجمل الربح</t>
        </is>
      </c>
      <c r="G13" s="50">
        <f>SUM(G4:G12)</f>
        <v/>
      </c>
      <c r="H13" s="50">
        <f>SUM(H4:H12)</f>
        <v/>
      </c>
      <c r="I13" s="50">
        <f>SUM(I4:I12)</f>
        <v/>
      </c>
      <c r="J13" s="50">
        <f>SUM(J4:J12)</f>
        <v/>
      </c>
      <c r="K13" s="50">
        <f>SUM(K4:K12)</f>
        <v/>
      </c>
      <c r="L13" s="65">
        <f>SUM(L4:L12)</f>
        <v/>
      </c>
    </row>
    <row r="14">
      <c r="B14" s="19" t="inlineStr">
        <is>
          <t>مطابقة مع مجمل الربح السنوي</t>
        </is>
      </c>
      <c r="G14" s="22">
        <f>IF(ABS(G13-'السنوي'!D$29)&lt;1,"سليم","خطأ")</f>
        <v/>
      </c>
      <c r="H14" s="22">
        <f>IF(ABS(H13-'السنوي'!E$29)&lt;1,"سليم","خطأ")</f>
        <v/>
      </c>
      <c r="I14" s="22">
        <f>IF(ABS(I13-'السنوي'!F$29)&lt;1,"سليم","خطأ")</f>
        <v/>
      </c>
      <c r="J14" s="22">
        <f>IF(ABS(J13-'السنوي'!G$29)&lt;1,"سليم","خطأ")</f>
        <v/>
      </c>
      <c r="K14" s="22">
        <f>IF(ABS(K13-'السنوي'!H$29)&lt;1,"سليم","خطأ")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2026-10-03T08:09:04Z</dcterms:created>
  <dcterms:modified xmlns:dcterms="http://purl.org/dc/terms/" xmlns:xsi="http://www.w3.org/2001/XMLSchema-instance" xsi:type="dcterms:W3CDTF">2026-10-03T08:09:05Z</dcterms:modified>
</cp:coreProperties>
</file>